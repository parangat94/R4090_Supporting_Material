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PBHASKAR\Desktop\interview\INTERVIEW\INTERVIEW\capstone\"/>
    </mc:Choice>
  </mc:AlternateContent>
  <xr:revisionPtr revIDLastSave="0" documentId="13_ncr:1_{FF285E3F-8134-4047-8506-CE6E4276EAEA}" xr6:coauthVersionLast="40" xr6:coauthVersionMax="40" xr10:uidLastSave="{00000000-0000-0000-0000-000000000000}"/>
  <bookViews>
    <workbookView xWindow="-120" yWindow="-120" windowWidth="20730" windowHeight="11160" tabRatio="655" xr2:uid="{00000000-000D-0000-FFFF-FFFF00000000}"/>
  </bookViews>
  <sheets>
    <sheet name="100% Ownership" sheetId="3" r:id="rId1"/>
    <sheet name="PPA" sheetId="8" r:id="rId2"/>
    <sheet name="100% Ownership Cash Flow" sheetId="1" r:id="rId3"/>
    <sheet name="PPA Cashflow" sheetId="9" r:id="rId4"/>
    <sheet name="Demand Charge Redn" sheetId="2" state="hidden" r:id="rId5"/>
    <sheet name="Baseline Energy Consumption" sheetId="5" r:id="rId6"/>
    <sheet name="Inputs" sheetId="10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4" i="3" l="1"/>
  <c r="B46" i="1" s="1"/>
  <c r="B96" i="1" s="1"/>
  <c r="D19" i="3"/>
  <c r="B45" i="1" s="1"/>
  <c r="C10" i="3"/>
  <c r="D18" i="3" s="1"/>
  <c r="D13" i="8"/>
  <c r="B45" i="9" s="1"/>
  <c r="C5" i="8"/>
  <c r="D12" i="8" s="1"/>
  <c r="D20" i="8"/>
  <c r="B49" i="9" s="1"/>
  <c r="B7" i="9" s="1"/>
  <c r="B8" i="9" s="1"/>
  <c r="B18" i="9" s="1"/>
  <c r="D19" i="8"/>
  <c r="B47" i="9" s="1"/>
  <c r="D25" i="3"/>
  <c r="B47" i="1" s="1"/>
  <c r="D18" i="8"/>
  <c r="B46" i="9" s="1"/>
  <c r="B96" i="9" s="1"/>
  <c r="B49" i="1"/>
  <c r="B7" i="1" s="1"/>
  <c r="B8" i="1" s="1"/>
  <c r="D40" i="3"/>
  <c r="I21" i="10"/>
  <c r="I20" i="10"/>
  <c r="B58" i="1"/>
  <c r="D42" i="3"/>
  <c r="D53" i="3" s="1"/>
  <c r="B60" i="1" s="1"/>
  <c r="B25" i="1" s="1"/>
  <c r="I10" i="10"/>
  <c r="I9" i="10"/>
  <c r="I4" i="10"/>
  <c r="I6" i="10"/>
  <c r="I7" i="10"/>
  <c r="I8" i="10"/>
  <c r="I11" i="10"/>
  <c r="I12" i="10"/>
  <c r="I13" i="10"/>
  <c r="I14" i="10"/>
  <c r="I15" i="10"/>
  <c r="I16" i="10"/>
  <c r="I17" i="10"/>
  <c r="I18" i="10"/>
  <c r="I19" i="10"/>
  <c r="I5" i="10"/>
  <c r="B63" i="9"/>
  <c r="B62" i="9"/>
  <c r="B61" i="9"/>
  <c r="B70" i="9" s="1"/>
  <c r="B59" i="9"/>
  <c r="C11" i="5"/>
  <c r="B58" i="9"/>
  <c r="B57" i="9"/>
  <c r="B56" i="9"/>
  <c r="B52" i="9"/>
  <c r="B51" i="9"/>
  <c r="B48" i="9"/>
  <c r="B50" i="9"/>
  <c r="B37" i="9"/>
  <c r="D37" i="8"/>
  <c r="B55" i="9" s="1"/>
  <c r="D36" i="8"/>
  <c r="B54" i="9" s="1"/>
  <c r="D34" i="8"/>
  <c r="D71" i="3"/>
  <c r="C22" i="5"/>
  <c r="B37" i="1"/>
  <c r="B56" i="1"/>
  <c r="B61" i="1"/>
  <c r="B62" i="1"/>
  <c r="B59" i="1"/>
  <c r="B57" i="1"/>
  <c r="D43" i="3"/>
  <c r="B55" i="1" s="1"/>
  <c r="B48" i="1"/>
  <c r="B52" i="1"/>
  <c r="B51" i="1"/>
  <c r="B50" i="1"/>
  <c r="C19" i="2"/>
  <c r="F19" i="2" s="1"/>
  <c r="G17" i="2" s="1"/>
  <c r="D7" i="2"/>
  <c r="D8" i="2"/>
  <c r="D9" i="2"/>
  <c r="D10" i="2"/>
  <c r="D11" i="2"/>
  <c r="D12" i="2"/>
  <c r="D13" i="2"/>
  <c r="D14" i="2"/>
  <c r="D15" i="2"/>
  <c r="D16" i="2"/>
  <c r="D17" i="2"/>
  <c r="D18" i="2"/>
  <c r="C72" i="3"/>
  <c r="C71" i="3"/>
  <c r="B110" i="9"/>
  <c r="C110" i="9" s="1"/>
  <c r="D110" i="9" s="1"/>
  <c r="E110" i="9" s="1"/>
  <c r="F110" i="9" s="1"/>
  <c r="G110" i="9" s="1"/>
  <c r="H110" i="9" s="1"/>
  <c r="I110" i="9" s="1"/>
  <c r="J110" i="9" s="1"/>
  <c r="K110" i="9" s="1"/>
  <c r="L110" i="9" s="1"/>
  <c r="M110" i="9" s="1"/>
  <c r="N110" i="9" s="1"/>
  <c r="O110" i="9" s="1"/>
  <c r="P110" i="9" s="1"/>
  <c r="Q110" i="9" s="1"/>
  <c r="R110" i="9" s="1"/>
  <c r="S110" i="9" s="1"/>
  <c r="T110" i="9" s="1"/>
  <c r="U110" i="9" s="1"/>
  <c r="V110" i="9" s="1"/>
  <c r="W110" i="9" s="1"/>
  <c r="X110" i="9" s="1"/>
  <c r="Y110" i="9" s="1"/>
  <c r="Z110" i="9" s="1"/>
  <c r="D47" i="8" l="1"/>
  <c r="B60" i="9" s="1"/>
  <c r="B75" i="9" s="1"/>
  <c r="C17" i="9" s="1"/>
  <c r="B44" i="9"/>
  <c r="W12" i="9" s="1"/>
  <c r="F10" i="9"/>
  <c r="F21" i="9" s="1"/>
  <c r="H10" i="9"/>
  <c r="H21" i="9" s="1"/>
  <c r="G10" i="9"/>
  <c r="G21" i="9" s="1"/>
  <c r="P6" i="9"/>
  <c r="P8" i="9" s="1"/>
  <c r="F6" i="9"/>
  <c r="F8" i="9" s="1"/>
  <c r="Q6" i="9"/>
  <c r="Q8" i="9" s="1"/>
  <c r="Y6" i="9"/>
  <c r="Y8" i="9" s="1"/>
  <c r="AA6" i="9"/>
  <c r="AA8" i="9" s="1"/>
  <c r="X6" i="9"/>
  <c r="X8" i="9" s="1"/>
  <c r="K6" i="9"/>
  <c r="K8" i="9" s="1"/>
  <c r="N12" i="9"/>
  <c r="Y12" i="9"/>
  <c r="P12" i="9"/>
  <c r="C12" i="9"/>
  <c r="Z12" i="9"/>
  <c r="H12" i="9"/>
  <c r="U12" i="9"/>
  <c r="K12" i="9"/>
  <c r="C11" i="1"/>
  <c r="D11" i="1" s="1"/>
  <c r="E11" i="1" s="1"/>
  <c r="F11" i="1" s="1"/>
  <c r="G11" i="1" s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C11" i="9"/>
  <c r="D11" i="9" s="1"/>
  <c r="E11" i="9" s="1"/>
  <c r="F11" i="9" s="1"/>
  <c r="G11" i="9" s="1"/>
  <c r="M12" i="9"/>
  <c r="B53" i="1"/>
  <c r="D41" i="3"/>
  <c r="B70" i="1"/>
  <c r="B71" i="1" s="1"/>
  <c r="D54" i="3" s="1"/>
  <c r="O6" i="1"/>
  <c r="O8" i="1" s="1"/>
  <c r="Z6" i="1"/>
  <c r="Z8" i="1" s="1"/>
  <c r="T6" i="1"/>
  <c r="T8" i="1" s="1"/>
  <c r="AA6" i="1"/>
  <c r="AA8" i="1" s="1"/>
  <c r="Y6" i="1"/>
  <c r="Y8" i="1" s="1"/>
  <c r="D6" i="1"/>
  <c r="D8" i="1" s="1"/>
  <c r="R6" i="1"/>
  <c r="R8" i="1" s="1"/>
  <c r="E6" i="1"/>
  <c r="E8" i="1" s="1"/>
  <c r="N6" i="1"/>
  <c r="N8" i="1" s="1"/>
  <c r="J6" i="1"/>
  <c r="J8" i="1" s="1"/>
  <c r="V6" i="1"/>
  <c r="V8" i="1" s="1"/>
  <c r="G6" i="1"/>
  <c r="G8" i="1" s="1"/>
  <c r="M6" i="1"/>
  <c r="M8" i="1" s="1"/>
  <c r="L6" i="1"/>
  <c r="L8" i="1" s="1"/>
  <c r="X6" i="1"/>
  <c r="X8" i="1" s="1"/>
  <c r="F6" i="1"/>
  <c r="F8" i="1" s="1"/>
  <c r="Q6" i="1"/>
  <c r="Q8" i="1" s="1"/>
  <c r="C6" i="1"/>
  <c r="C8" i="1" s="1"/>
  <c r="I6" i="1"/>
  <c r="I8" i="1" s="1"/>
  <c r="W6" i="1"/>
  <c r="W8" i="1" s="1"/>
  <c r="H6" i="1"/>
  <c r="H8" i="1" s="1"/>
  <c r="U6" i="1"/>
  <c r="U8" i="1" s="1"/>
  <c r="K6" i="1"/>
  <c r="K8" i="1" s="1"/>
  <c r="S6" i="1"/>
  <c r="S8" i="1" s="1"/>
  <c r="P6" i="1"/>
  <c r="P8" i="1" s="1"/>
  <c r="B71" i="9"/>
  <c r="D35" i="8"/>
  <c r="B53" i="9"/>
  <c r="R6" i="9"/>
  <c r="R8" i="9" s="1"/>
  <c r="N6" i="9"/>
  <c r="N8" i="9" s="1"/>
  <c r="O6" i="9"/>
  <c r="O8" i="9" s="1"/>
  <c r="W6" i="9"/>
  <c r="W8" i="9" s="1"/>
  <c r="Z6" i="9"/>
  <c r="Z8" i="9" s="1"/>
  <c r="G6" i="9"/>
  <c r="G8" i="9" s="1"/>
  <c r="D6" i="9"/>
  <c r="D8" i="9" s="1"/>
  <c r="L6" i="9"/>
  <c r="L8" i="9" s="1"/>
  <c r="T6" i="9"/>
  <c r="T8" i="9" s="1"/>
  <c r="M6" i="9"/>
  <c r="M8" i="9" s="1"/>
  <c r="I6" i="9"/>
  <c r="I8" i="9" s="1"/>
  <c r="J6" i="9"/>
  <c r="J8" i="9" s="1"/>
  <c r="C6" i="9"/>
  <c r="C8" i="9" s="1"/>
  <c r="U6" i="9"/>
  <c r="U8" i="9" s="1"/>
  <c r="S6" i="9"/>
  <c r="S8" i="9" s="1"/>
  <c r="H6" i="9"/>
  <c r="H8" i="9" s="1"/>
  <c r="B75" i="1"/>
  <c r="C17" i="1" s="1"/>
  <c r="B19" i="9"/>
  <c r="B20" i="9" s="1"/>
  <c r="V6" i="9"/>
  <c r="V8" i="9" s="1"/>
  <c r="B25" i="9"/>
  <c r="E6" i="9"/>
  <c r="E8" i="9" s="1"/>
  <c r="O12" i="9"/>
  <c r="D12" i="9"/>
  <c r="T12" i="9"/>
  <c r="I12" i="9"/>
  <c r="F12" i="9"/>
  <c r="V12" i="9"/>
  <c r="C13" i="9"/>
  <c r="G12" i="9"/>
  <c r="AA12" i="9"/>
  <c r="X12" i="9"/>
  <c r="Q12" i="9"/>
  <c r="R12" i="9"/>
  <c r="S12" i="9"/>
  <c r="L12" i="9"/>
  <c r="E12" i="9"/>
  <c r="J12" i="9"/>
  <c r="E10" i="9"/>
  <c r="E21" i="9" s="1"/>
  <c r="D10" i="9"/>
  <c r="D21" i="9" s="1"/>
  <c r="D19" i="2"/>
  <c r="C10" i="9"/>
  <c r="C21" i="9" s="1"/>
  <c r="B24" i="9"/>
  <c r="B95" i="9" s="1"/>
  <c r="B18" i="1"/>
  <c r="B19" i="1" s="1"/>
  <c r="B54" i="1"/>
  <c r="B44" i="1"/>
  <c r="B26" i="9" l="1"/>
  <c r="C18" i="9"/>
  <c r="C19" i="9" s="1"/>
  <c r="C20" i="9" s="1"/>
  <c r="B74" i="1"/>
  <c r="B27" i="9"/>
  <c r="B28" i="9"/>
  <c r="B29" i="9" s="1"/>
  <c r="B74" i="9"/>
  <c r="B76" i="9" s="1"/>
  <c r="D48" i="8"/>
  <c r="G12" i="1"/>
  <c r="K12" i="1"/>
  <c r="O12" i="1"/>
  <c r="S12" i="1"/>
  <c r="W12" i="1"/>
  <c r="AA12" i="1"/>
  <c r="H12" i="1"/>
  <c r="M12" i="1"/>
  <c r="R12" i="1"/>
  <c r="X12" i="1"/>
  <c r="F12" i="1"/>
  <c r="N12" i="1"/>
  <c r="U12" i="1"/>
  <c r="C12" i="1"/>
  <c r="I12" i="1"/>
  <c r="P12" i="1"/>
  <c r="V12" i="1"/>
  <c r="C13" i="1"/>
  <c r="D12" i="1"/>
  <c r="J12" i="1"/>
  <c r="Q12" i="1"/>
  <c r="Y12" i="1"/>
  <c r="E12" i="1"/>
  <c r="L12" i="1"/>
  <c r="T12" i="1"/>
  <c r="Z12" i="1"/>
  <c r="B20" i="1"/>
  <c r="D13" i="9"/>
  <c r="C96" i="9"/>
  <c r="B24" i="1"/>
  <c r="B95" i="1" s="1"/>
  <c r="G10" i="1"/>
  <c r="G21" i="1" s="1"/>
  <c r="E10" i="1"/>
  <c r="E21" i="1" s="1"/>
  <c r="C10" i="1"/>
  <c r="C21" i="1" s="1"/>
  <c r="H10" i="1"/>
  <c r="H21" i="1" s="1"/>
  <c r="F10" i="1"/>
  <c r="F21" i="1" s="1"/>
  <c r="D10" i="1"/>
  <c r="D21" i="1" s="1"/>
  <c r="H11" i="9"/>
  <c r="B76" i="1"/>
  <c r="C18" i="1" l="1"/>
  <c r="C19" i="1" s="1"/>
  <c r="C20" i="1" s="1"/>
  <c r="I11" i="9"/>
  <c r="B77" i="9"/>
  <c r="C23" i="9"/>
  <c r="C95" i="9" s="1"/>
  <c r="B31" i="9"/>
  <c r="B77" i="1"/>
  <c r="C23" i="1"/>
  <c r="C95" i="1" s="1"/>
  <c r="D13" i="1"/>
  <c r="C96" i="1"/>
  <c r="E13" i="9"/>
  <c r="D96" i="9"/>
  <c r="B30" i="9"/>
  <c r="B26" i="1"/>
  <c r="C26" i="1" l="1"/>
  <c r="C28" i="1" s="1"/>
  <c r="J11" i="9"/>
  <c r="C74" i="1"/>
  <c r="C75" i="1"/>
  <c r="D17" i="1" s="1"/>
  <c r="D18" i="1" s="1"/>
  <c r="C26" i="9"/>
  <c r="D96" i="1"/>
  <c r="E13" i="1"/>
  <c r="C75" i="9"/>
  <c r="D17" i="9" s="1"/>
  <c r="C74" i="9"/>
  <c r="B27" i="1"/>
  <c r="B28" i="1"/>
  <c r="B29" i="1" s="1"/>
  <c r="E96" i="9"/>
  <c r="F13" i="9"/>
  <c r="F96" i="9" l="1"/>
  <c r="G13" i="9"/>
  <c r="C76" i="1"/>
  <c r="B31" i="1"/>
  <c r="C29" i="1"/>
  <c r="C28" i="9"/>
  <c r="C29" i="9" s="1"/>
  <c r="C27" i="9"/>
  <c r="B30" i="1"/>
  <c r="C27" i="1"/>
  <c r="D18" i="9"/>
  <c r="D19" i="1"/>
  <c r="D20" i="1" s="1"/>
  <c r="F13" i="1"/>
  <c r="E96" i="1"/>
  <c r="K11" i="9"/>
  <c r="C76" i="9"/>
  <c r="D19" i="9" l="1"/>
  <c r="D20" i="9" s="1"/>
  <c r="C31" i="9"/>
  <c r="D23" i="1"/>
  <c r="D95" i="1" s="1"/>
  <c r="C77" i="1"/>
  <c r="L11" i="9"/>
  <c r="F96" i="1"/>
  <c r="G13" i="1"/>
  <c r="C30" i="9"/>
  <c r="C31" i="1"/>
  <c r="C30" i="1"/>
  <c r="H13" i="9"/>
  <c r="G96" i="9"/>
  <c r="D23" i="9"/>
  <c r="D95" i="9" s="1"/>
  <c r="C77" i="9"/>
  <c r="D26" i="9" l="1"/>
  <c r="D28" i="9"/>
  <c r="D29" i="9" s="1"/>
  <c r="D27" i="9"/>
  <c r="M11" i="9"/>
  <c r="D74" i="9"/>
  <c r="D75" i="9"/>
  <c r="E17" i="9" s="1"/>
  <c r="H96" i="9"/>
  <c r="I13" i="9"/>
  <c r="G96" i="1"/>
  <c r="H13" i="1"/>
  <c r="D75" i="1"/>
  <c r="E17" i="1" s="1"/>
  <c r="D74" i="1"/>
  <c r="D26" i="1"/>
  <c r="D76" i="9" l="1"/>
  <c r="E18" i="1"/>
  <c r="N11" i="9"/>
  <c r="D28" i="1"/>
  <c r="D29" i="1" s="1"/>
  <c r="D27" i="1"/>
  <c r="J13" i="9"/>
  <c r="I96" i="9"/>
  <c r="D76" i="1"/>
  <c r="I13" i="1"/>
  <c r="H96" i="1"/>
  <c r="D31" i="9"/>
  <c r="E18" i="9"/>
  <c r="D30" i="9"/>
  <c r="E23" i="9" l="1"/>
  <c r="E95" i="9" s="1"/>
  <c r="D77" i="9"/>
  <c r="D30" i="1"/>
  <c r="E19" i="9"/>
  <c r="E20" i="9" s="1"/>
  <c r="E26" i="9" s="1"/>
  <c r="O11" i="9"/>
  <c r="J96" i="9"/>
  <c r="K13" i="9"/>
  <c r="D31" i="1"/>
  <c r="E23" i="1"/>
  <c r="E95" i="1" s="1"/>
  <c r="D77" i="1"/>
  <c r="E19" i="1"/>
  <c r="E20" i="1" s="1"/>
  <c r="J13" i="1"/>
  <c r="I96" i="1"/>
  <c r="E75" i="9" l="1"/>
  <c r="F17" i="9" s="1"/>
  <c r="F18" i="9" s="1"/>
  <c r="E74" i="9"/>
  <c r="E76" i="9" s="1"/>
  <c r="E77" i="9" s="1"/>
  <c r="E26" i="1"/>
  <c r="E28" i="1" s="1"/>
  <c r="E29" i="1" s="1"/>
  <c r="E28" i="9"/>
  <c r="E29" i="9" s="1"/>
  <c r="E27" i="9"/>
  <c r="K13" i="1"/>
  <c r="J96" i="1"/>
  <c r="F23" i="9"/>
  <c r="F95" i="9" s="1"/>
  <c r="E75" i="1"/>
  <c r="F17" i="1" s="1"/>
  <c r="E74" i="1"/>
  <c r="P11" i="9"/>
  <c r="F19" i="9"/>
  <c r="F20" i="9" s="1"/>
  <c r="K96" i="9"/>
  <c r="L13" i="9"/>
  <c r="E27" i="1" l="1"/>
  <c r="F26" i="9"/>
  <c r="F28" i="9"/>
  <c r="F29" i="9" s="1"/>
  <c r="E76" i="1"/>
  <c r="K96" i="1"/>
  <c r="L13" i="1"/>
  <c r="F27" i="9"/>
  <c r="E30" i="9"/>
  <c r="F18" i="1"/>
  <c r="Q11" i="9"/>
  <c r="F75" i="9"/>
  <c r="G17" i="9" s="1"/>
  <c r="F74" i="9"/>
  <c r="F76" i="9" s="1"/>
  <c r="G23" i="9" s="1"/>
  <c r="M13" i="9"/>
  <c r="L96" i="9"/>
  <c r="E30" i="1"/>
  <c r="E31" i="1"/>
  <c r="E31" i="9"/>
  <c r="F77" i="9" l="1"/>
  <c r="F23" i="1"/>
  <c r="F95" i="1" s="1"/>
  <c r="E77" i="1"/>
  <c r="L96" i="1"/>
  <c r="M13" i="1"/>
  <c r="G74" i="9"/>
  <c r="G75" i="9"/>
  <c r="H17" i="9" s="1"/>
  <c r="M96" i="9"/>
  <c r="N13" i="9"/>
  <c r="R11" i="9"/>
  <c r="F31" i="9"/>
  <c r="G95" i="9"/>
  <c r="G18" i="9"/>
  <c r="F19" i="1"/>
  <c r="F20" i="1" s="1"/>
  <c r="F26" i="1" s="1"/>
  <c r="F30" i="9"/>
  <c r="F28" i="1" l="1"/>
  <c r="F29" i="1" s="1"/>
  <c r="F27" i="1"/>
  <c r="S11" i="9"/>
  <c r="N13" i="1"/>
  <c r="M96" i="1"/>
  <c r="H18" i="9"/>
  <c r="O13" i="9"/>
  <c r="N96" i="9"/>
  <c r="G76" i="9"/>
  <c r="F74" i="1"/>
  <c r="F75" i="1"/>
  <c r="G17" i="1" s="1"/>
  <c r="G19" i="9"/>
  <c r="G20" i="9" s="1"/>
  <c r="G26" i="9" s="1"/>
  <c r="G28" i="9" l="1"/>
  <c r="G29" i="9" s="1"/>
  <c r="G27" i="9"/>
  <c r="O96" i="9"/>
  <c r="P13" i="9"/>
  <c r="F30" i="1"/>
  <c r="H23" i="9"/>
  <c r="H95" i="9" s="1"/>
  <c r="G77" i="9"/>
  <c r="H19" i="9"/>
  <c r="H20" i="9" s="1"/>
  <c r="H26" i="9" s="1"/>
  <c r="H28" i="9" s="1"/>
  <c r="O13" i="1"/>
  <c r="N96" i="1"/>
  <c r="G18" i="1"/>
  <c r="F76" i="1"/>
  <c r="T11" i="9"/>
  <c r="F31" i="1"/>
  <c r="Q13" i="9" l="1"/>
  <c r="P96" i="9"/>
  <c r="U11" i="9"/>
  <c r="G23" i="1"/>
  <c r="G95" i="1" s="1"/>
  <c r="F77" i="1"/>
  <c r="H75" i="9"/>
  <c r="I17" i="9" s="1"/>
  <c r="H74" i="9"/>
  <c r="G30" i="9"/>
  <c r="H27" i="9"/>
  <c r="G19" i="1"/>
  <c r="G20" i="1" s="1"/>
  <c r="P13" i="1"/>
  <c r="O96" i="1"/>
  <c r="H29" i="9"/>
  <c r="G31" i="9"/>
  <c r="G26" i="1" l="1"/>
  <c r="G28" i="1" s="1"/>
  <c r="G29" i="1" s="1"/>
  <c r="I18" i="9"/>
  <c r="P96" i="1"/>
  <c r="Q13" i="1"/>
  <c r="H30" i="9"/>
  <c r="V11" i="9"/>
  <c r="H31" i="9"/>
  <c r="G74" i="1"/>
  <c r="G75" i="1"/>
  <c r="H17" i="1" s="1"/>
  <c r="H76" i="9"/>
  <c r="R13" i="9"/>
  <c r="Q96" i="9"/>
  <c r="G27" i="1" l="1"/>
  <c r="G76" i="1"/>
  <c r="H23" i="1" s="1"/>
  <c r="H95" i="1" s="1"/>
  <c r="Q96" i="1"/>
  <c r="R13" i="1"/>
  <c r="W11" i="9"/>
  <c r="G31" i="1"/>
  <c r="S13" i="9"/>
  <c r="R96" i="9"/>
  <c r="G30" i="1"/>
  <c r="I19" i="9"/>
  <c r="I20" i="9" s="1"/>
  <c r="I23" i="9"/>
  <c r="I95" i="9" s="1"/>
  <c r="H77" i="9"/>
  <c r="H18" i="1"/>
  <c r="I26" i="9" l="1"/>
  <c r="G77" i="1"/>
  <c r="H75" i="1" s="1"/>
  <c r="I17" i="1" s="1"/>
  <c r="I28" i="9"/>
  <c r="I29" i="9" s="1"/>
  <c r="I27" i="9"/>
  <c r="X11" i="9"/>
  <c r="I75" i="9"/>
  <c r="J17" i="9" s="1"/>
  <c r="I74" i="9"/>
  <c r="R96" i="1"/>
  <c r="S13" i="1"/>
  <c r="H19" i="1"/>
  <c r="H20" i="1" s="1"/>
  <c r="H26" i="1" s="1"/>
  <c r="S96" i="9"/>
  <c r="T13" i="9"/>
  <c r="H74" i="1" l="1"/>
  <c r="I76" i="9"/>
  <c r="T13" i="1"/>
  <c r="S96" i="1"/>
  <c r="J18" i="9"/>
  <c r="I18" i="1"/>
  <c r="H28" i="1"/>
  <c r="H29" i="1" s="1"/>
  <c r="H27" i="1"/>
  <c r="Y11" i="9"/>
  <c r="I30" i="9"/>
  <c r="U13" i="9"/>
  <c r="T96" i="9"/>
  <c r="H76" i="1"/>
  <c r="I31" i="9"/>
  <c r="I19" i="1" l="1"/>
  <c r="I20" i="1" s="1"/>
  <c r="U96" i="9"/>
  <c r="V13" i="9"/>
  <c r="Z11" i="9"/>
  <c r="I23" i="1"/>
  <c r="I95" i="1" s="1"/>
  <c r="H77" i="1"/>
  <c r="H30" i="1"/>
  <c r="J20" i="9"/>
  <c r="J26" i="9" s="1"/>
  <c r="J19" i="9"/>
  <c r="T96" i="1"/>
  <c r="U13" i="1"/>
  <c r="H31" i="1"/>
  <c r="J23" i="9"/>
  <c r="J95" i="9" s="1"/>
  <c r="I77" i="9"/>
  <c r="J75" i="9" l="1"/>
  <c r="K17" i="9" s="1"/>
  <c r="J74" i="9"/>
  <c r="J76" i="9" s="1"/>
  <c r="K23" i="9" s="1"/>
  <c r="U96" i="1"/>
  <c r="V13" i="1"/>
  <c r="J28" i="9"/>
  <c r="J29" i="9" s="1"/>
  <c r="J27" i="9"/>
  <c r="V96" i="9"/>
  <c r="W13" i="9"/>
  <c r="AA11" i="9"/>
  <c r="I26" i="1"/>
  <c r="I75" i="1"/>
  <c r="J17" i="1" s="1"/>
  <c r="I74" i="1"/>
  <c r="J18" i="1" l="1"/>
  <c r="J30" i="9"/>
  <c r="J31" i="9"/>
  <c r="I28" i="1"/>
  <c r="I29" i="1" s="1"/>
  <c r="I27" i="1"/>
  <c r="W96" i="9"/>
  <c r="X13" i="9"/>
  <c r="J77" i="9"/>
  <c r="I76" i="1"/>
  <c r="V96" i="1"/>
  <c r="W13" i="1"/>
  <c r="K95" i="9"/>
  <c r="K18" i="9"/>
  <c r="X13" i="1" l="1"/>
  <c r="W96" i="1"/>
  <c r="I31" i="1"/>
  <c r="K19" i="9"/>
  <c r="K20" i="9" s="1"/>
  <c r="K26" i="9" s="1"/>
  <c r="X96" i="9"/>
  <c r="Y13" i="9"/>
  <c r="J23" i="1"/>
  <c r="J95" i="1" s="1"/>
  <c r="I77" i="1"/>
  <c r="J19" i="1"/>
  <c r="J20" i="1" s="1"/>
  <c r="K74" i="9"/>
  <c r="K75" i="9"/>
  <c r="L17" i="9" s="1"/>
  <c r="I30" i="1"/>
  <c r="K76" i="9" l="1"/>
  <c r="J26" i="1"/>
  <c r="J28" i="1" s="1"/>
  <c r="J29" i="1" s="1"/>
  <c r="J75" i="1"/>
  <c r="K17" i="1" s="1"/>
  <c r="J74" i="1"/>
  <c r="K28" i="9"/>
  <c r="K29" i="9" s="1"/>
  <c r="K27" i="9"/>
  <c r="L18" i="9"/>
  <c r="Z13" i="9"/>
  <c r="Y96" i="9"/>
  <c r="X96" i="1"/>
  <c r="Y13" i="1"/>
  <c r="L23" i="9" l="1"/>
  <c r="L95" i="9" s="1"/>
  <c r="K77" i="9"/>
  <c r="J76" i="1"/>
  <c r="K23" i="1" s="1"/>
  <c r="K95" i="1" s="1"/>
  <c r="J27" i="1"/>
  <c r="J30" i="1" s="1"/>
  <c r="L19" i="9"/>
  <c r="L20" i="9" s="1"/>
  <c r="L26" i="9" s="1"/>
  <c r="K30" i="9"/>
  <c r="K18" i="1"/>
  <c r="Z13" i="1"/>
  <c r="Y96" i="1"/>
  <c r="AA13" i="9"/>
  <c r="Z96" i="9"/>
  <c r="K31" i="9"/>
  <c r="J31" i="1"/>
  <c r="J77" i="1" l="1"/>
  <c r="K74" i="1" s="1"/>
  <c r="L75" i="9"/>
  <c r="M17" i="9" s="1"/>
  <c r="M18" i="9" s="1"/>
  <c r="L74" i="9"/>
  <c r="L76" i="9" s="1"/>
  <c r="L77" i="9" s="1"/>
  <c r="K75" i="1"/>
  <c r="L17" i="1" s="1"/>
  <c r="L18" i="1" s="1"/>
  <c r="L28" i="9"/>
  <c r="L29" i="9" s="1"/>
  <c r="L27" i="9"/>
  <c r="K19" i="1"/>
  <c r="K20" i="1" s="1"/>
  <c r="K26" i="1" s="1"/>
  <c r="M19" i="9"/>
  <c r="M20" i="9" s="1"/>
  <c r="AA13" i="1"/>
  <c r="Z96" i="1"/>
  <c r="AA96" i="9"/>
  <c r="B99" i="9" s="1"/>
  <c r="M23" i="9" l="1"/>
  <c r="M95" i="9" s="1"/>
  <c r="K76" i="1"/>
  <c r="M26" i="9"/>
  <c r="M28" i="9" s="1"/>
  <c r="M29" i="9" s="1"/>
  <c r="K28" i="1"/>
  <c r="K29" i="1" s="1"/>
  <c r="K27" i="1"/>
  <c r="L23" i="1"/>
  <c r="L95" i="1" s="1"/>
  <c r="K77" i="1"/>
  <c r="L19" i="1"/>
  <c r="L20" i="1" s="1"/>
  <c r="AA96" i="1"/>
  <c r="B99" i="1" s="1"/>
  <c r="B109" i="1"/>
  <c r="C70" i="3"/>
  <c r="M74" i="9"/>
  <c r="M75" i="9"/>
  <c r="N17" i="9" s="1"/>
  <c r="L30" i="9"/>
  <c r="M27" i="9"/>
  <c r="L31" i="9"/>
  <c r="M76" i="9" l="1"/>
  <c r="L75" i="1"/>
  <c r="M17" i="1" s="1"/>
  <c r="L74" i="1"/>
  <c r="M30" i="9"/>
  <c r="L26" i="1"/>
  <c r="L28" i="1" s="1"/>
  <c r="L29" i="1" s="1"/>
  <c r="K30" i="1"/>
  <c r="M31" i="9"/>
  <c r="N18" i="9"/>
  <c r="K31" i="1"/>
  <c r="N23" i="9" l="1"/>
  <c r="N95" i="9" s="1"/>
  <c r="M77" i="9"/>
  <c r="L76" i="1"/>
  <c r="M23" i="1" s="1"/>
  <c r="M95" i="1" s="1"/>
  <c r="L27" i="1"/>
  <c r="L30" i="1" s="1"/>
  <c r="L31" i="1"/>
  <c r="N19" i="9"/>
  <c r="N20" i="9" s="1"/>
  <c r="N26" i="9" s="1"/>
  <c r="M18" i="1"/>
  <c r="N74" i="9" l="1"/>
  <c r="N75" i="9"/>
  <c r="O17" i="9" s="1"/>
  <c r="O18" i="9" s="1"/>
  <c r="L77" i="1"/>
  <c r="M75" i="1" s="1"/>
  <c r="N17" i="1" s="1"/>
  <c r="N28" i="9"/>
  <c r="N29" i="9" s="1"/>
  <c r="N27" i="9"/>
  <c r="M19" i="1"/>
  <c r="M20" i="1" s="1"/>
  <c r="M26" i="1" s="1"/>
  <c r="O19" i="9"/>
  <c r="O20" i="9" s="1"/>
  <c r="M74" i="1" l="1"/>
  <c r="M76" i="1" s="1"/>
  <c r="N23" i="1" s="1"/>
  <c r="N95" i="1" s="1"/>
  <c r="N76" i="9"/>
  <c r="M28" i="1"/>
  <c r="M29" i="1" s="1"/>
  <c r="M27" i="1"/>
  <c r="N18" i="1"/>
  <c r="N30" i="9"/>
  <c r="N31" i="9"/>
  <c r="O23" i="9" l="1"/>
  <c r="N77" i="9"/>
  <c r="M77" i="1"/>
  <c r="N75" i="1" s="1"/>
  <c r="O17" i="1" s="1"/>
  <c r="N19" i="1"/>
  <c r="N20" i="1" s="1"/>
  <c r="N26" i="1" s="1"/>
  <c r="M30" i="1"/>
  <c r="M31" i="1"/>
  <c r="N74" i="1" l="1"/>
  <c r="O74" i="9"/>
  <c r="O75" i="9"/>
  <c r="P17" i="9" s="1"/>
  <c r="O95" i="9"/>
  <c r="O26" i="9"/>
  <c r="N28" i="1"/>
  <c r="N29" i="1" s="1"/>
  <c r="N27" i="1"/>
  <c r="O18" i="1"/>
  <c r="N76" i="1"/>
  <c r="O28" i="9" l="1"/>
  <c r="O29" i="9" s="1"/>
  <c r="O31" i="9" s="1"/>
  <c r="O27" i="9"/>
  <c r="O30" i="9" s="1"/>
  <c r="P18" i="9"/>
  <c r="P19" i="9" s="1"/>
  <c r="P20" i="9" s="1"/>
  <c r="O76" i="9"/>
  <c r="O19" i="1"/>
  <c r="O20" i="1" s="1"/>
  <c r="O23" i="1"/>
  <c r="O95" i="1" s="1"/>
  <c r="N77" i="1"/>
  <c r="N30" i="1"/>
  <c r="N31" i="1"/>
  <c r="P23" i="9" l="1"/>
  <c r="P95" i="9" s="1"/>
  <c r="O77" i="9"/>
  <c r="O26" i="1"/>
  <c r="O28" i="1" s="1"/>
  <c r="O29" i="1" s="1"/>
  <c r="O31" i="1" s="1"/>
  <c r="O74" i="1"/>
  <c r="O75" i="1"/>
  <c r="P17" i="1" s="1"/>
  <c r="P75" i="9" l="1"/>
  <c r="Q17" i="9" s="1"/>
  <c r="Q18" i="9" s="1"/>
  <c r="Q19" i="9" s="1"/>
  <c r="Q20" i="9" s="1"/>
  <c r="P74" i="9"/>
  <c r="P76" i="9" s="1"/>
  <c r="P26" i="9"/>
  <c r="O27" i="1"/>
  <c r="O76" i="1"/>
  <c r="P23" i="1" s="1"/>
  <c r="P95" i="1" s="1"/>
  <c r="P18" i="1"/>
  <c r="O77" i="1"/>
  <c r="O30" i="1"/>
  <c r="P27" i="9" l="1"/>
  <c r="P28" i="9"/>
  <c r="P29" i="9" s="1"/>
  <c r="P31" i="9" s="1"/>
  <c r="Q23" i="9"/>
  <c r="Q95" i="9" s="1"/>
  <c r="P77" i="9"/>
  <c r="P74" i="1"/>
  <c r="P75" i="1"/>
  <c r="Q17" i="1" s="1"/>
  <c r="P19" i="1"/>
  <c r="P20" i="1" s="1"/>
  <c r="P26" i="1" s="1"/>
  <c r="Q74" i="9" l="1"/>
  <c r="Q75" i="9"/>
  <c r="R17" i="9" s="1"/>
  <c r="Q26" i="9"/>
  <c r="Q28" i="9" s="1"/>
  <c r="Q29" i="9" s="1"/>
  <c r="Q31" i="9" s="1"/>
  <c r="P30" i="9"/>
  <c r="P28" i="1"/>
  <c r="P29" i="1" s="1"/>
  <c r="P27" i="1"/>
  <c r="Q18" i="1"/>
  <c r="P76" i="1"/>
  <c r="R18" i="9" l="1"/>
  <c r="R19" i="9" s="1"/>
  <c r="R20" i="9" s="1"/>
  <c r="Q27" i="9"/>
  <c r="Q30" i="9" s="1"/>
  <c r="Q76" i="9"/>
  <c r="Q23" i="1"/>
  <c r="Q95" i="1" s="1"/>
  <c r="P77" i="1"/>
  <c r="Q19" i="1"/>
  <c r="Q20" i="1" s="1"/>
  <c r="P30" i="1"/>
  <c r="P31" i="1"/>
  <c r="Q26" i="1" l="1"/>
  <c r="R23" i="9"/>
  <c r="R95" i="9" s="1"/>
  <c r="Q77" i="9"/>
  <c r="R26" i="9"/>
  <c r="R28" i="9" s="1"/>
  <c r="R29" i="9" s="1"/>
  <c r="R31" i="9" s="1"/>
  <c r="Q28" i="1"/>
  <c r="Q29" i="1" s="1"/>
  <c r="Q27" i="1"/>
  <c r="Q74" i="1"/>
  <c r="Q75" i="1"/>
  <c r="R17" i="1" s="1"/>
  <c r="R27" i="9" l="1"/>
  <c r="R30" i="9" s="1"/>
  <c r="R74" i="9"/>
  <c r="R75" i="9"/>
  <c r="S17" i="9" s="1"/>
  <c r="Q76" i="1"/>
  <c r="Q30" i="1"/>
  <c r="R18" i="1"/>
  <c r="Q31" i="1"/>
  <c r="S18" i="9" l="1"/>
  <c r="S19" i="9" s="1"/>
  <c r="S20" i="9" s="1"/>
  <c r="R76" i="9"/>
  <c r="R23" i="1"/>
  <c r="R95" i="1" s="1"/>
  <c r="Q77" i="1"/>
  <c r="R19" i="1"/>
  <c r="R20" i="1" s="1"/>
  <c r="R26" i="1" l="1"/>
  <c r="R28" i="1" s="1"/>
  <c r="R29" i="1" s="1"/>
  <c r="S23" i="9"/>
  <c r="S95" i="9" s="1"/>
  <c r="R77" i="9"/>
  <c r="S26" i="9"/>
  <c r="R74" i="1"/>
  <c r="R75" i="1"/>
  <c r="S17" i="1" s="1"/>
  <c r="S18" i="1" s="1"/>
  <c r="S19" i="1" s="1"/>
  <c r="S20" i="1" s="1"/>
  <c r="R27" i="1"/>
  <c r="S28" i="9" l="1"/>
  <c r="S29" i="9" s="1"/>
  <c r="S31" i="9" s="1"/>
  <c r="S27" i="9"/>
  <c r="S75" i="9"/>
  <c r="T17" i="9" s="1"/>
  <c r="S74" i="9"/>
  <c r="S76" i="9" s="1"/>
  <c r="T23" i="9" s="1"/>
  <c r="R76" i="1"/>
  <c r="R31" i="1"/>
  <c r="R30" i="1"/>
  <c r="T95" i="9" l="1"/>
  <c r="T18" i="9"/>
  <c r="T19" i="9" s="1"/>
  <c r="T20" i="9" s="1"/>
  <c r="T26" i="9" s="1"/>
  <c r="T28" i="9" s="1"/>
  <c r="T29" i="9" s="1"/>
  <c r="T31" i="9" s="1"/>
  <c r="S30" i="9"/>
  <c r="S77" i="9"/>
  <c r="S23" i="1"/>
  <c r="R77" i="1"/>
  <c r="T27" i="9" l="1"/>
  <c r="T30" i="9"/>
  <c r="T75" i="9"/>
  <c r="U17" i="9" s="1"/>
  <c r="T74" i="9"/>
  <c r="T76" i="9" s="1"/>
  <c r="U23" i="9" s="1"/>
  <c r="S75" i="1"/>
  <c r="T17" i="1" s="1"/>
  <c r="S74" i="1"/>
  <c r="S95" i="1"/>
  <c r="S26" i="1"/>
  <c r="U18" i="9" l="1"/>
  <c r="U19" i="9" s="1"/>
  <c r="U20" i="9" s="1"/>
  <c r="U26" i="9" s="1"/>
  <c r="U95" i="9"/>
  <c r="T77" i="9"/>
  <c r="S76" i="1"/>
  <c r="T23" i="1" s="1"/>
  <c r="T95" i="1" s="1"/>
  <c r="S28" i="1"/>
  <c r="S29" i="1" s="1"/>
  <c r="S31" i="1" s="1"/>
  <c r="S27" i="1"/>
  <c r="S30" i="1" s="1"/>
  <c r="T18" i="1"/>
  <c r="T19" i="1" s="1"/>
  <c r="T20" i="1" s="1"/>
  <c r="S77" i="1" l="1"/>
  <c r="T74" i="1" s="1"/>
  <c r="U74" i="9"/>
  <c r="U75" i="9"/>
  <c r="V17" i="9" s="1"/>
  <c r="V18" i="9" s="1"/>
  <c r="V19" i="9" s="1"/>
  <c r="V20" i="9" s="1"/>
  <c r="U28" i="9"/>
  <c r="U29" i="9" s="1"/>
  <c r="U31" i="9" s="1"/>
  <c r="U27" i="9"/>
  <c r="T26" i="1"/>
  <c r="T75" i="1" l="1"/>
  <c r="U17" i="1" s="1"/>
  <c r="U18" i="1" s="1"/>
  <c r="U19" i="1" s="1"/>
  <c r="U20" i="1" s="1"/>
  <c r="U76" i="9"/>
  <c r="V23" i="9" s="1"/>
  <c r="V95" i="9" s="1"/>
  <c r="U30" i="9"/>
  <c r="U77" i="9"/>
  <c r="V26" i="9"/>
  <c r="V28" i="9" s="1"/>
  <c r="V29" i="9" s="1"/>
  <c r="V31" i="9" s="1"/>
  <c r="T27" i="1"/>
  <c r="T30" i="1" s="1"/>
  <c r="T28" i="1"/>
  <c r="T29" i="1" s="1"/>
  <c r="T31" i="1" s="1"/>
  <c r="T76" i="1"/>
  <c r="V75" i="9" l="1"/>
  <c r="W17" i="9" s="1"/>
  <c r="W18" i="9" s="1"/>
  <c r="V74" i="9"/>
  <c r="V76" i="9" s="1"/>
  <c r="W23" i="9" s="1"/>
  <c r="W95" i="9" s="1"/>
  <c r="V77" i="9"/>
  <c r="V27" i="9"/>
  <c r="V30" i="9" s="1"/>
  <c r="U23" i="1"/>
  <c r="T77" i="1"/>
  <c r="W74" i="9" l="1"/>
  <c r="W75" i="9"/>
  <c r="X17" i="9" s="1"/>
  <c r="X18" i="9" s="1"/>
  <c r="X19" i="9" s="1"/>
  <c r="X20" i="9" s="1"/>
  <c r="W19" i="9"/>
  <c r="W20" i="9" s="1"/>
  <c r="W26" i="9" s="1"/>
  <c r="U75" i="1"/>
  <c r="V17" i="1" s="1"/>
  <c r="U74" i="1"/>
  <c r="U95" i="1"/>
  <c r="U26" i="1"/>
  <c r="W28" i="9" l="1"/>
  <c r="W29" i="9" s="1"/>
  <c r="W31" i="9" s="1"/>
  <c r="W27" i="9"/>
  <c r="W30" i="9" s="1"/>
  <c r="W76" i="9"/>
  <c r="U76" i="1"/>
  <c r="V23" i="1" s="1"/>
  <c r="V95" i="1" s="1"/>
  <c r="U28" i="1"/>
  <c r="U29" i="1" s="1"/>
  <c r="U31" i="1" s="1"/>
  <c r="U27" i="1"/>
  <c r="V18" i="1"/>
  <c r="V19" i="1" s="1"/>
  <c r="V20" i="1" s="1"/>
  <c r="V26" i="1" l="1"/>
  <c r="V28" i="1" s="1"/>
  <c r="V29" i="1" s="1"/>
  <c r="V31" i="1" s="1"/>
  <c r="X23" i="9"/>
  <c r="W77" i="9"/>
  <c r="U77" i="1"/>
  <c r="V74" i="1" s="1"/>
  <c r="U30" i="1"/>
  <c r="V27" i="1" l="1"/>
  <c r="V30" i="1" s="1"/>
  <c r="V75" i="1"/>
  <c r="W17" i="1" s="1"/>
  <c r="W18" i="1" s="1"/>
  <c r="W19" i="1" s="1"/>
  <c r="W20" i="1" s="1"/>
  <c r="X75" i="9"/>
  <c r="Y17" i="9" s="1"/>
  <c r="Y18" i="9" s="1"/>
  <c r="Y19" i="9" s="1"/>
  <c r="Y20" i="9" s="1"/>
  <c r="X74" i="9"/>
  <c r="X76" i="9" s="1"/>
  <c r="X77" i="9" s="1"/>
  <c r="X95" i="9"/>
  <c r="X26" i="9"/>
  <c r="V76" i="1"/>
  <c r="W23" i="1" s="1"/>
  <c r="Y23" i="9" l="1"/>
  <c r="Y95" i="9" s="1"/>
  <c r="Y26" i="9"/>
  <c r="X28" i="9"/>
  <c r="X29" i="9" s="1"/>
  <c r="X31" i="9" s="1"/>
  <c r="X27" i="9"/>
  <c r="X30" i="9" s="1"/>
  <c r="V77" i="1"/>
  <c r="W74" i="1" s="1"/>
  <c r="W95" i="1"/>
  <c r="W26" i="1"/>
  <c r="W27" i="1" s="1"/>
  <c r="W30" i="1" s="1"/>
  <c r="Y28" i="9"/>
  <c r="Y29" i="9" s="1"/>
  <c r="Y75" i="9"/>
  <c r="Z17" i="9" s="1"/>
  <c r="Y74" i="9"/>
  <c r="Y76" i="9" l="1"/>
  <c r="Z23" i="9" s="1"/>
  <c r="W75" i="1"/>
  <c r="X17" i="1" s="1"/>
  <c r="X18" i="1" s="1"/>
  <c r="X19" i="1" s="1"/>
  <c r="X20" i="1" s="1"/>
  <c r="Y27" i="9"/>
  <c r="Y30" i="9" s="1"/>
  <c r="W28" i="1"/>
  <c r="W29" i="1" s="1"/>
  <c r="W31" i="1" s="1"/>
  <c r="Z95" i="9"/>
  <c r="Z18" i="9"/>
  <c r="Y77" i="9"/>
  <c r="Y31" i="9"/>
  <c r="W76" i="1" l="1"/>
  <c r="X23" i="1" s="1"/>
  <c r="W77" i="1"/>
  <c r="Z75" i="9"/>
  <c r="AA17" i="9" s="1"/>
  <c r="Z74" i="9"/>
  <c r="Z76" i="9" s="1"/>
  <c r="AA23" i="9" s="1"/>
  <c r="Z19" i="9"/>
  <c r="Z20" i="9" s="1"/>
  <c r="Z26" i="9" s="1"/>
  <c r="Z77" i="9" l="1"/>
  <c r="X75" i="1"/>
  <c r="Y17" i="1" s="1"/>
  <c r="Y18" i="1" s="1"/>
  <c r="Y19" i="1" s="1"/>
  <c r="Y20" i="1" s="1"/>
  <c r="X74" i="1"/>
  <c r="X76" i="1" s="1"/>
  <c r="Y23" i="1" s="1"/>
  <c r="Y95" i="1" s="1"/>
  <c r="X95" i="1"/>
  <c r="X26" i="1"/>
  <c r="Z28" i="9"/>
  <c r="Z29" i="9" s="1"/>
  <c r="Z27" i="9"/>
  <c r="AA95" i="9"/>
  <c r="B98" i="9" s="1"/>
  <c r="B101" i="9" s="1"/>
  <c r="AA18" i="9"/>
  <c r="X77" i="1" l="1"/>
  <c r="Y75" i="1" s="1"/>
  <c r="Z17" i="1" s="1"/>
  <c r="Y26" i="1"/>
  <c r="Y28" i="1" s="1"/>
  <c r="Y74" i="1"/>
  <c r="Y76" i="1" s="1"/>
  <c r="Z23" i="1" s="1"/>
  <c r="Z95" i="1" s="1"/>
  <c r="X28" i="1"/>
  <c r="X29" i="1" s="1"/>
  <c r="X31" i="1" s="1"/>
  <c r="X27" i="1"/>
  <c r="B111" i="9"/>
  <c r="S111" i="9"/>
  <c r="T111" i="9"/>
  <c r="Q111" i="9"/>
  <c r="C59" i="8"/>
  <c r="I111" i="9"/>
  <c r="R111" i="9"/>
  <c r="F111" i="9"/>
  <c r="C111" i="9"/>
  <c r="K111" i="9"/>
  <c r="L111" i="9"/>
  <c r="U111" i="9"/>
  <c r="P111" i="9"/>
  <c r="O111" i="9"/>
  <c r="X111" i="9"/>
  <c r="W111" i="9"/>
  <c r="E111" i="9"/>
  <c r="G111" i="9"/>
  <c r="V111" i="9"/>
  <c r="M111" i="9"/>
  <c r="Y111" i="9"/>
  <c r="N111" i="9"/>
  <c r="D111" i="9"/>
  <c r="Z111" i="9"/>
  <c r="J111" i="9"/>
  <c r="B61" i="8"/>
  <c r="H111" i="9"/>
  <c r="Z30" i="9"/>
  <c r="AA19" i="9"/>
  <c r="AA20" i="9" s="1"/>
  <c r="AA26" i="9" s="1"/>
  <c r="Z18" i="1"/>
  <c r="Z31" i="9"/>
  <c r="Y77" i="1" l="1"/>
  <c r="X30" i="1"/>
  <c r="Y27" i="1"/>
  <c r="Y30" i="1" s="1"/>
  <c r="Y29" i="1"/>
  <c r="Y31" i="1" s="1"/>
  <c r="AA28" i="9"/>
  <c r="AA29" i="9" s="1"/>
  <c r="B36" i="9"/>
  <c r="C75" i="8" s="1"/>
  <c r="B35" i="9"/>
  <c r="C74" i="8" s="1"/>
  <c r="Z75" i="1"/>
  <c r="AA17" i="1" s="1"/>
  <c r="Z74" i="1"/>
  <c r="Z19" i="1"/>
  <c r="Z20" i="1" s="1"/>
  <c r="Z26" i="1" s="1"/>
  <c r="AA27" i="9"/>
  <c r="B113" i="9"/>
  <c r="C68" i="8" s="1"/>
  <c r="B112" i="9"/>
  <c r="C67" i="8" s="1"/>
  <c r="Z76" i="1" l="1"/>
  <c r="B108" i="1"/>
  <c r="Z28" i="1"/>
  <c r="Z29" i="1" s="1"/>
  <c r="Z27" i="1"/>
  <c r="AA18" i="1"/>
  <c r="AA30" i="9"/>
  <c r="B38" i="9"/>
  <c r="C76" i="8" s="1"/>
  <c r="AA31" i="9"/>
  <c r="B39" i="9"/>
  <c r="C77" i="8" s="1"/>
  <c r="Z30" i="1" l="1"/>
  <c r="Z31" i="1"/>
  <c r="AA19" i="1"/>
  <c r="AA20" i="1" s="1"/>
  <c r="AA23" i="1"/>
  <c r="AA95" i="1" s="1"/>
  <c r="B98" i="1" s="1"/>
  <c r="B101" i="1" s="1"/>
  <c r="Z77" i="1"/>
  <c r="AA26" i="1" l="1"/>
  <c r="AA28" i="1" s="1"/>
  <c r="AA29" i="1" s="1"/>
  <c r="AA27" i="1" l="1"/>
  <c r="B35" i="1"/>
  <c r="C66" i="3" s="1"/>
  <c r="B36" i="1"/>
  <c r="C67" i="3" s="1"/>
  <c r="AA30" i="1"/>
  <c r="B38" i="1" s="1"/>
  <c r="C68" i="3" s="1"/>
  <c r="AA31" i="1"/>
  <c r="B39" i="1"/>
  <c r="C69" i="3" s="1"/>
  <c r="D69" i="3" s="1"/>
</calcChain>
</file>

<file path=xl/sharedStrings.xml><?xml version="1.0" encoding="utf-8"?>
<sst xmlns="http://schemas.openxmlformats.org/spreadsheetml/2006/main" count="376" uniqueCount="213">
  <si>
    <t>Salvage</t>
  </si>
  <si>
    <t>Inputs</t>
  </si>
  <si>
    <t>Demand Charge Reduction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</si>
  <si>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</si>
  <si>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</si>
  <si>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</si>
  <si>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</si>
  <si>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</si>
  <si>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</si>
  <si>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</si>
  <si>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</si>
  <si>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</si>
  <si>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</si>
  <si>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</si>
  <si>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</si>
  <si>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</si>
  <si>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Peak O/P (kWp)</t>
  </si>
  <si>
    <t xml:space="preserve">Total </t>
  </si>
  <si>
    <t>Year</t>
  </si>
  <si>
    <t xml:space="preserve">Spring-Ford School District: 40 kW Rooftop Solar PV System </t>
  </si>
  <si>
    <t>Revenue/Costs Avoided</t>
  </si>
  <si>
    <t>Electricity Generated</t>
  </si>
  <si>
    <t>NPV</t>
  </si>
  <si>
    <t>IRR</t>
  </si>
  <si>
    <t>Discount Rate</t>
  </si>
  <si>
    <t>Total Cash Flow</t>
  </si>
  <si>
    <t>O&amp;M Cost</t>
  </si>
  <si>
    <t>Annual kW Reduction Cummulative (kW)</t>
  </si>
  <si>
    <t>Total Cost</t>
  </si>
  <si>
    <t>Average System Degradation Rate</t>
  </si>
  <si>
    <t>Comments</t>
  </si>
  <si>
    <t xml:space="preserve"> Base cost = $250 and Additional Cost = $1/kW</t>
  </si>
  <si>
    <t>Demand Reduction</t>
  </si>
  <si>
    <t xml:space="preserve">SREC </t>
  </si>
  <si>
    <t>SREC Value ($/MWh)</t>
  </si>
  <si>
    <t>Solar PV System Size (kW)</t>
  </si>
  <si>
    <t>System Cost ($)</t>
  </si>
  <si>
    <t>As per system designed in Helioscope</t>
  </si>
  <si>
    <t>Sum of peak power produced by rooftop solar PV system each month</t>
  </si>
  <si>
    <t>PECO General Services Customer</t>
  </si>
  <si>
    <t>Monthly Demand Charge ($/KW/month)</t>
  </si>
  <si>
    <t>Baseline Solar PV System Cost ($/Watt)</t>
  </si>
  <si>
    <t>Annual System O&amp;M Cost  ($20/kW)</t>
  </si>
  <si>
    <t>Based on Quote Received from Local Installer - VIVINT Solar</t>
  </si>
  <si>
    <t>Source - Jordan and Kurtz 2013</t>
  </si>
  <si>
    <t>Cumulative Cash Flow</t>
  </si>
  <si>
    <t>Discounted Cash Flow</t>
  </si>
  <si>
    <t>Payback Period (in Years)</t>
  </si>
  <si>
    <t>Area:</t>
  </si>
  <si>
    <t>Annual kWh Production (kWh)</t>
  </si>
  <si>
    <t>Nominal Payback Calculator</t>
  </si>
  <si>
    <t>Discounted Payback Period (in Years)</t>
  </si>
  <si>
    <t>Discounted Cumulative Cash Flow</t>
  </si>
  <si>
    <t>Discounted Payback Calculator</t>
  </si>
  <si>
    <t>/</t>
  </si>
  <si>
    <t>Grant Awarded ($)</t>
  </si>
  <si>
    <t>Utility Grid Tie-In Fee</t>
  </si>
  <si>
    <t>System Cost after ITC and Grants Awarded</t>
  </si>
  <si>
    <t>Investment Tax Credit Available (%)</t>
  </si>
  <si>
    <t>(NREL 2013) Incurred by Owner of the PV system</t>
  </si>
  <si>
    <t>Loan Amount (% of System Cost at Year 0)</t>
  </si>
  <si>
    <t>Constant Loan Payment</t>
  </si>
  <si>
    <t>Cost of Electricity from Utility ($/Kwh)</t>
  </si>
  <si>
    <t>Loan Payment:</t>
  </si>
  <si>
    <t>Interest Rate (i)</t>
  </si>
  <si>
    <t>Loan Period, N (in years)</t>
  </si>
  <si>
    <t xml:space="preserve">Equal Annual Payments ($) </t>
  </si>
  <si>
    <t>Loan Amount ($)</t>
  </si>
  <si>
    <t>Payment</t>
  </si>
  <si>
    <t>Interest</t>
  </si>
  <si>
    <t>Balance</t>
  </si>
  <si>
    <t>Cash Flow:</t>
  </si>
  <si>
    <t>Taxable Income</t>
  </si>
  <si>
    <t>-Tax</t>
  </si>
  <si>
    <t>Tax Rate (%)</t>
  </si>
  <si>
    <t>Non Capital Expenses</t>
  </si>
  <si>
    <t xml:space="preserve">Write Off &amp; Project Loan </t>
  </si>
  <si>
    <t>+Depreciation</t>
  </si>
  <si>
    <t>+Write off</t>
  </si>
  <si>
    <t>-Write off</t>
  </si>
  <si>
    <t>-Principal</t>
  </si>
  <si>
    <t>Principal</t>
  </si>
  <si>
    <t>Capital Recovery Factor (i,N)</t>
  </si>
  <si>
    <t>-Capital Cost</t>
  </si>
  <si>
    <t>+Loan Amount (Borrowed)</t>
  </si>
  <si>
    <t>-Depreciation (5 years MACRS)</t>
  </si>
  <si>
    <t>MACRS Rates - Half Year Convention (5 years)</t>
  </si>
  <si>
    <t xml:space="preserve">Year </t>
  </si>
  <si>
    <t>Since Schools are not taxpaying customers, they cannot take advantage of depreciation. Hence, 0%.</t>
  </si>
  <si>
    <t>Rate</t>
  </si>
  <si>
    <t>After Tax Cash Flow</t>
  </si>
  <si>
    <t>Interest Payment</t>
  </si>
  <si>
    <t>SYSTEM SPECIFICATIONS</t>
  </si>
  <si>
    <t>S. No.</t>
  </si>
  <si>
    <t>Your Annual Electricity Production (kWh) is:</t>
  </si>
  <si>
    <t>Results</t>
  </si>
  <si>
    <t>ELECTRIC UTILITY INFORMATION</t>
  </si>
  <si>
    <t xml:space="preserve">Your Annual Reduction in Peak Power Demanded (kW) is: </t>
  </si>
  <si>
    <t>kWh</t>
  </si>
  <si>
    <t>kW</t>
  </si>
  <si>
    <t>$/kWh</t>
  </si>
  <si>
    <t xml:space="preserve"> Enter Your Solar PV System Size (in kW)</t>
  </si>
  <si>
    <t>Enter the Cost of Electricity from Utility ($/kWh)</t>
  </si>
  <si>
    <t>$/kW</t>
  </si>
  <si>
    <t>Enter the Monthly Demand Charge ($/kW)</t>
  </si>
  <si>
    <t xml:space="preserve">What is the Cost of Tying Your PV System to the Grid? </t>
  </si>
  <si>
    <t>Enter the Cost of Your Solar PV System ($/Watt)</t>
  </si>
  <si>
    <t>SYSTEM ECONOMICS</t>
  </si>
  <si>
    <t>$/Watt</t>
  </si>
  <si>
    <t xml:space="preserve">Enter the Total Amount of Grants Received ($) : </t>
  </si>
  <si>
    <t>Total System Cost ($)</t>
  </si>
  <si>
    <t>Net Total System Cost After Deduction of ITC and Grants ($)</t>
  </si>
  <si>
    <t>Enter Annual Operation and Maintenance Cost ($/kW):</t>
  </si>
  <si>
    <t>Enter Price of Solar Renewable Energy Credit ($/MWh)</t>
  </si>
  <si>
    <t>$/MWh</t>
  </si>
  <si>
    <t>Annual System Operation and Maintenance Cost ($/year)</t>
  </si>
  <si>
    <t>Enter Income Tax Rate (%)</t>
  </si>
  <si>
    <t>PROJECT FINANCING</t>
  </si>
  <si>
    <t>Enter Percentage of Project Financed by Loan (%)</t>
  </si>
  <si>
    <t>Enter Loan Interest Rate (%)</t>
  </si>
  <si>
    <t>Enter Loan Term (years)</t>
  </si>
  <si>
    <t>years</t>
  </si>
  <si>
    <t>Total Loan Amount ($)</t>
  </si>
  <si>
    <t>MISCALLANEOUS</t>
  </si>
  <si>
    <t>Enter Average System Degradation Rate</t>
  </si>
  <si>
    <t>Annual Payments ($)</t>
  </si>
  <si>
    <t>RESULTS</t>
  </si>
  <si>
    <t>Rate of Return</t>
  </si>
  <si>
    <t>Enter Project Discount Rate (%)</t>
  </si>
  <si>
    <t>Average 25 Year Annual Savings in Electricity Bill</t>
  </si>
  <si>
    <t>(for 40 kW system)</t>
  </si>
  <si>
    <t>2 FLOORS</t>
  </si>
  <si>
    <t>SQ FT</t>
  </si>
  <si>
    <t xml:space="preserve">4A </t>
  </si>
  <si>
    <t>Philadelphia</t>
  </si>
  <si>
    <t>Annual kWh</t>
  </si>
  <si>
    <t>Annual kWp</t>
  </si>
  <si>
    <t>kWh/sq ft</t>
  </si>
  <si>
    <t>Secondary School</t>
  </si>
  <si>
    <t>Total Floor Area</t>
  </si>
  <si>
    <t>Climate Zone</t>
  </si>
  <si>
    <t>Pittsburgh</t>
  </si>
  <si>
    <t xml:space="preserve">Climate Zone </t>
  </si>
  <si>
    <t>5A</t>
  </si>
  <si>
    <t>School District</t>
  </si>
  <si>
    <t>LCOE</t>
  </si>
  <si>
    <t xml:space="preserve">LCOE = </t>
  </si>
  <si>
    <t>Present Value of Yearly Costs ($)</t>
  </si>
  <si>
    <t>Total Cost (Present Value in $)</t>
  </si>
  <si>
    <t>Total Energy Production Over 25 Year Period (kWh)</t>
  </si>
  <si>
    <t>Annual Energy Production (kWh)</t>
  </si>
  <si>
    <t>Percentage of Total Capital Cost Covered by Grants After ITC Deduction (%)</t>
  </si>
  <si>
    <t>Enter the Percentage of Investment Tax Credits (ITC) Your System Qualifies for :</t>
  </si>
  <si>
    <t>Checking Whether Federal Loan is Feasible:</t>
  </si>
  <si>
    <t>NPV of Annual Loan Payments</t>
  </si>
  <si>
    <t>NPV of Total Yearly Electric Bill Savings</t>
  </si>
  <si>
    <t xml:space="preserve">Annual Electric Bill Savings During Loan Payment Period </t>
  </si>
  <si>
    <t xml:space="preserve">Annual Electric Bill Savings After Loan Payment </t>
  </si>
  <si>
    <t>kWh/kW</t>
  </si>
  <si>
    <t>Spring-Ford</t>
  </si>
  <si>
    <t>kW/kWp</t>
  </si>
  <si>
    <t>Project's Specific Yield (kWh/kWp) :</t>
  </si>
  <si>
    <t>-Interest Payment</t>
  </si>
  <si>
    <t>Select School District From Drop Down Menu:</t>
  </si>
  <si>
    <t>Results for the School District:</t>
  </si>
  <si>
    <t>Results for the System Owner:</t>
  </si>
  <si>
    <t>Choose Power Purchase Agreement Contract Escalation Rate (% Increase / year)</t>
  </si>
  <si>
    <t>Enter Average PV System Degradation Rate</t>
  </si>
  <si>
    <t>25 Year Total Electric Bill Savings ($)</t>
  </si>
  <si>
    <t>PPA Escalation Rate</t>
  </si>
  <si>
    <t>Yearly Electric Bill Savings from PPA:</t>
  </si>
  <si>
    <t xml:space="preserve">ELECTRIC UTILITY INFORMATION </t>
  </si>
  <si>
    <t xml:space="preserve">Note: </t>
  </si>
  <si>
    <t>Electricity Rate as per PPA Agreement</t>
  </si>
  <si>
    <t>Yearly Savings</t>
  </si>
  <si>
    <t>Present Value of Total Savings</t>
  </si>
  <si>
    <t>Total Savings</t>
  </si>
  <si>
    <t>Discounted 25 Year Total Electric Bill Savings ($)</t>
  </si>
  <si>
    <t>System Performance</t>
  </si>
  <si>
    <t>Electric Utility Information</t>
  </si>
  <si>
    <t>Consumption Rate ($/kWh)</t>
  </si>
  <si>
    <t>Demand Charge ($/kW)</t>
  </si>
  <si>
    <t>School Specifications</t>
  </si>
  <si>
    <t xml:space="preserve">Hazleton </t>
  </si>
  <si>
    <t>Mount Pleasant</t>
  </si>
  <si>
    <t xml:space="preserve">Bangor </t>
  </si>
  <si>
    <t>Norwin</t>
  </si>
  <si>
    <t>Garnet Valley</t>
  </si>
  <si>
    <t>Penncrest</t>
  </si>
  <si>
    <t>Solanco</t>
  </si>
  <si>
    <t>School Building Area</t>
  </si>
  <si>
    <t>Metropolitan Edison</t>
  </si>
  <si>
    <t>Upper Merion</t>
  </si>
  <si>
    <t>Norristown</t>
  </si>
  <si>
    <t>Cheltenham</t>
  </si>
  <si>
    <t>PECO</t>
  </si>
  <si>
    <t>Upper Dublin</t>
  </si>
  <si>
    <t>Downingtown</t>
  </si>
  <si>
    <t xml:space="preserve">Electric Utility </t>
  </si>
  <si>
    <t>West Penn Power</t>
  </si>
  <si>
    <t>Lakeview</t>
  </si>
  <si>
    <t>Spring Grove</t>
  </si>
  <si>
    <t>Approx Annual kWh</t>
  </si>
  <si>
    <t>Tredyffrin-Easttown</t>
  </si>
  <si>
    <t>Southeast Delco</t>
  </si>
  <si>
    <t>West Chester</t>
  </si>
  <si>
    <t>PPL</t>
  </si>
  <si>
    <t>Pennsylvania Electric Co.</t>
  </si>
  <si>
    <t>Pennsylvania Power</t>
  </si>
  <si>
    <t>School District Information</t>
  </si>
  <si>
    <t>User Defined Design Constraints</t>
  </si>
  <si>
    <t>Preliminary Results</t>
  </si>
  <si>
    <t>Password to unlock sheets is 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</si>
</sst>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;\-&quot;$&quot;#,##0.00"/>
    <numFmt numFmtId="165" formatCode="_-* #,##0.00_-;\-* #,##0.00_-;_-* &quot;-&quot;??_-;_-@_-"/>
    <numFmt numFmtId="166" formatCode="_(&quot;$&quot;* #,##0.000_);_(&quot;$&quot;* \(#,##0.000\);_(&quot;$&quot;* &quot;-&quot;??_);_(@_)"/>
    <numFmt numFmtId="167" formatCode="0.0%"/>
    <numFmt numFmtId="168" formatCode="_(* #,##0.0_);_(* \(#,##0.0\);_(* &quot;-&quot;??_);_(@_)"/>
    <numFmt numFmtId="169" formatCode="0.0"/>
    <numFmt numFmtId="170" formatCode="&quot;$&quot;#,##0.00"/>
    <numFmt numFmtId="171" formatCode="_(&quot;$&quot;* #,##0.0000_);_(&quot;$&quot;* \(#,##0.0000\);_(&quot;$&quot;* &quot;-&quot;??_);_(@_)"/>
    <numFmt numFmtId="172" formatCode="_(* #,##0_);_(* \(#,##0\);_(* &quot;-&quot;??_);_(@_)"/>
    <numFmt numFmtId="173" formatCode="_-* #,##0_-;\-* #,##0_-;_-* &quot;-&quot;??_-;_-@_-"/>
    <numFmt numFmtId="174" formatCode="&quot;$&quot;#,##0.00;[Red]&quot;$&quot;#,##0.00"/>
    <numFmt numFmtId="175" formatCode="&quot;$&quot;#,##0;[Red]&quot;$&quot;#,##0"/>
    <numFmt numFmtId="176" formatCode="&quot;$&quot;#,##0.000;[Red]&quot;$&quot;#,##0.000"/>
    <numFmt numFmtId="177" formatCode="&quot;$&quot;#,##0"/>
  </numFmts>
  <fonts count="3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i/>
      <sz val="11"/>
      <color rgb="FF7030A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scheme val="minor"/>
    </font>
    <font>
      <u/>
      <sz val="11"/>
      <color theme="11"/>
      <name val="Calibri"/>
      <scheme val="minor"/>
    </font>
    <font>
      <sz val="10"/>
      <color rgb="FF000000"/>
      <name val="Arial"/>
    </font>
    <font>
      <sz val="11"/>
      <color indexed="206"/>
      <name val="Calibri"/>
    </font>
    <font>
      <sz val="11"/>
      <color rgb="FFFF0000"/>
      <name val="Calibri"/>
      <scheme val="minor"/>
    </font>
    <font>
      <sz val="11"/>
      <color theme="0" tint="-0.34998626667073579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6"/>
      <color theme="1"/>
      <name val="Verdana"/>
      <family val="2"/>
    </font>
    <font>
      <sz val="16"/>
      <color theme="1"/>
      <name val="Verdana"/>
      <family val="2"/>
    </font>
    <font>
      <sz val="16"/>
      <color rgb="FF222222"/>
      <name val="Verdana"/>
      <family val="2"/>
    </font>
    <font>
      <b/>
      <sz val="16"/>
      <color theme="0"/>
      <name val="Verdana"/>
      <family val="2"/>
    </font>
    <font>
      <i/>
      <sz val="11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41">
    <border>
      <left/>
      <right/>
      <top/>
      <bottom/>
      <diagonal/>
    </border>
    <border>
      <left style="thin">
        <color rgb="FFD6E6F7"/>
      </left>
      <right style="thin">
        <color rgb="FFD6E6F7"/>
      </right>
      <top style="thin">
        <color rgb="FFD6E6F7"/>
      </top>
      <bottom style="thin">
        <color rgb="FFD6E6F7"/>
      </bottom>
      <diagonal/>
    </border>
    <border>
      <left style="thin">
        <color rgb="FFD6E6F7"/>
      </left>
      <right/>
      <top style="thin">
        <color rgb="FFD6E6F7"/>
      </top>
      <bottom style="thin">
        <color rgb="FFD6E6F7"/>
      </bottom>
      <diagonal/>
    </border>
    <border>
      <left/>
      <right/>
      <top style="thin">
        <color rgb="FFD6E6F7"/>
      </top>
      <bottom style="thin">
        <color rgb="FFD6E6F7"/>
      </bottom>
      <diagonal/>
    </border>
    <border>
      <left/>
      <right style="thin">
        <color rgb="FFD6E6F7"/>
      </right>
      <top style="thin">
        <color rgb="FFD6E6F7"/>
      </top>
      <bottom style="thin">
        <color rgb="FFD6E6F7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D6E6F7"/>
      </left>
      <right/>
      <top/>
      <bottom style="thin">
        <color rgb="FFD6E6F7"/>
      </bottom>
      <diagonal/>
    </border>
    <border>
      <left/>
      <right/>
      <top/>
      <bottom style="thin">
        <color rgb="FFD6E6F7"/>
      </bottom>
      <diagonal/>
    </border>
    <border>
      <left style="thin">
        <color rgb="FFD6E6F7"/>
      </left>
      <right style="thin">
        <color rgb="FFD6E6F7"/>
      </right>
      <top style="thin">
        <color rgb="FFD6E6F7"/>
      </top>
      <bottom/>
      <diagonal/>
    </border>
    <border>
      <left style="thin">
        <color rgb="FFD6E6F7"/>
      </left>
      <right/>
      <top style="thin">
        <color rgb="FFD6E6F7"/>
      </top>
      <bottom/>
      <diagonal/>
    </border>
    <border>
      <left/>
      <right/>
      <top style="thin">
        <color rgb="FFD6E6F7"/>
      </top>
      <bottom/>
      <diagonal/>
    </border>
    <border>
      <left style="thin">
        <color auto="1"/>
      </left>
      <right/>
      <top/>
      <bottom/>
      <diagonal/>
    </border>
    <border>
      <left style="thin">
        <color rgb="FFD6E6F7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thin">
        <color rgb="FFD6E6F7"/>
      </bottom>
      <diagonal/>
    </border>
    <border>
      <left/>
      <right style="medium">
        <color auto="1"/>
      </right>
      <top/>
      <bottom style="thin">
        <color rgb="FFD6E6F7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</borders>
  <cellStyleXfs count="98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365">
    <xf numFmtId="0" fontId="0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/>
    <xf numFmtId="0" fontId="0" fillId="0" borderId="5" xfId="0" applyNumberFormat="1" applyFont="1" applyFill="1" applyBorder="1" applyAlignment="1" applyProtection="1">
      <alignment horizontal="center"/>
    </xf>
    <xf numFmtId="0" fontId="0" fillId="0" borderId="9" xfId="0" applyNumberFormat="1" applyFont="1" applyFill="1" applyBorder="1" applyAlignment="1" applyProtection="1">
      <alignment horizontal="center"/>
    </xf>
    <xf numFmtId="0" fontId="3" fillId="0" borderId="11" xfId="0" applyNumberFormat="1" applyFont="1" applyFill="1" applyBorder="1" applyAlignment="1" applyProtection="1">
      <alignment horizontal="center"/>
    </xf>
    <xf numFmtId="44" fontId="0" fillId="0" borderId="10" xfId="2" applyFont="1" applyFill="1" applyBorder="1" applyAlignment="1" applyProtection="1">
      <alignment horizontal="center"/>
    </xf>
    <xf numFmtId="44" fontId="3" fillId="0" borderId="13" xfId="2" applyFont="1" applyFill="1" applyBorder="1" applyAlignment="1" applyProtection="1">
      <alignment horizontal="center"/>
    </xf>
    <xf numFmtId="0" fontId="3" fillId="2" borderId="6" xfId="0" applyNumberFormat="1" applyFont="1" applyFill="1" applyBorder="1" applyAlignment="1" applyProtection="1">
      <alignment horizontal="center" vertical="center"/>
    </xf>
    <xf numFmtId="0" fontId="3" fillId="2" borderId="7" xfId="0" applyNumberFormat="1" applyFont="1" applyFill="1" applyBorder="1" applyAlignment="1" applyProtection="1">
      <alignment horizontal="center" vertical="center"/>
    </xf>
    <xf numFmtId="0" fontId="3" fillId="2" borderId="8" xfId="0" applyNumberFormat="1" applyFont="1" applyFill="1" applyBorder="1" applyAlignment="1" applyProtection="1">
      <alignment horizontal="center" vertical="center" wrapText="1"/>
    </xf>
    <xf numFmtId="0" fontId="1" fillId="0" borderId="0" xfId="0" applyNumberFormat="1" applyFont="1" applyFill="1" applyBorder="1" applyAlignment="1" applyProtection="1"/>
    <xf numFmtId="0" fontId="6" fillId="0" borderId="3" xfId="0" applyFont="1" applyFill="1" applyBorder="1"/>
    <xf numFmtId="0" fontId="6" fillId="0" borderId="17" xfId="0" applyFont="1" applyFill="1" applyBorder="1" applyAlignment="1">
      <alignment horizontal="left" vertical="center" indent="1"/>
    </xf>
    <xf numFmtId="0" fontId="6" fillId="0" borderId="18" xfId="0" applyFont="1" applyFill="1" applyBorder="1"/>
    <xf numFmtId="0" fontId="6" fillId="0" borderId="4" xfId="0" applyFont="1" applyFill="1" applyBorder="1"/>
    <xf numFmtId="6" fontId="5" fillId="0" borderId="4" xfId="0" applyNumberFormat="1" applyFont="1" applyFill="1" applyBorder="1" applyAlignment="1">
      <alignment horizontal="right" vertical="center"/>
    </xf>
    <xf numFmtId="6" fontId="5" fillId="0" borderId="1" xfId="0" applyNumberFormat="1" applyFont="1" applyFill="1" applyBorder="1" applyAlignment="1">
      <alignment horizontal="right" vertical="center"/>
    </xf>
    <xf numFmtId="10" fontId="5" fillId="0" borderId="1" xfId="3" applyNumberFormat="1" applyFont="1" applyFill="1" applyBorder="1" applyAlignment="1">
      <alignment horizontal="right" vertical="center"/>
    </xf>
    <xf numFmtId="0" fontId="6" fillId="0" borderId="2" xfId="0" applyFont="1" applyFill="1" applyBorder="1" applyAlignment="1">
      <alignment horizontal="left" vertical="center" indent="1"/>
    </xf>
    <xf numFmtId="6" fontId="6" fillId="0" borderId="3" xfId="0" applyNumberFormat="1" applyFont="1" applyFill="1" applyBorder="1" applyAlignment="1">
      <alignment horizontal="right" vertical="center"/>
    </xf>
    <xf numFmtId="6" fontId="6" fillId="0" borderId="4" xfId="0" applyNumberFormat="1" applyFont="1" applyFill="1" applyBorder="1" applyAlignment="1">
      <alignment horizontal="right" vertical="center"/>
    </xf>
    <xf numFmtId="0" fontId="5" fillId="0" borderId="16" xfId="0" applyFont="1" applyFill="1" applyBorder="1" applyAlignment="1">
      <alignment horizontal="left" vertical="center" indent="2"/>
    </xf>
    <xf numFmtId="0" fontId="5" fillId="0" borderId="16" xfId="0" applyFont="1" applyFill="1" applyBorder="1" applyAlignment="1">
      <alignment horizontal="right" vertical="center"/>
    </xf>
    <xf numFmtId="6" fontId="5" fillId="0" borderId="16" xfId="0" applyNumberFormat="1" applyFont="1" applyFill="1" applyBorder="1" applyAlignment="1">
      <alignment horizontal="right" vertical="center"/>
    </xf>
    <xf numFmtId="0" fontId="5" fillId="0" borderId="4" xfId="0" applyFont="1" applyFill="1" applyBorder="1" applyAlignment="1">
      <alignment horizontal="right" vertical="center"/>
    </xf>
    <xf numFmtId="0" fontId="5" fillId="0" borderId="1" xfId="0" applyFont="1" applyFill="1" applyBorder="1" applyAlignment="1">
      <alignment horizontal="right" vertical="center"/>
    </xf>
    <xf numFmtId="0" fontId="6" fillId="0" borderId="3" xfId="0" applyFont="1" applyFill="1" applyBorder="1" applyAlignment="1">
      <alignment horizontal="right" vertical="center"/>
    </xf>
    <xf numFmtId="0" fontId="6" fillId="0" borderId="4" xfId="0" applyFont="1" applyFill="1" applyBorder="1" applyAlignment="1">
      <alignment horizontal="right" vertical="center"/>
    </xf>
    <xf numFmtId="43" fontId="7" fillId="0" borderId="5" xfId="1" applyFont="1" applyFill="1" applyBorder="1" applyAlignment="1">
      <alignment horizontal="right" vertical="center" wrapText="1"/>
    </xf>
    <xf numFmtId="1" fontId="7" fillId="0" borderId="5" xfId="0" applyNumberFormat="1" applyFont="1" applyFill="1" applyBorder="1" applyAlignment="1">
      <alignment horizontal="right" vertical="center" wrapText="1"/>
    </xf>
    <xf numFmtId="166" fontId="7" fillId="0" borderId="5" xfId="2" applyNumberFormat="1" applyFont="1" applyFill="1" applyBorder="1" applyAlignment="1">
      <alignment horizontal="right" vertical="center" wrapText="1"/>
    </xf>
    <xf numFmtId="44" fontId="7" fillId="0" borderId="5" xfId="2" applyFont="1" applyFill="1" applyBorder="1" applyAlignment="1" applyProtection="1">
      <alignment horizontal="right" vertical="center" wrapText="1"/>
    </xf>
    <xf numFmtId="167" fontId="3" fillId="0" borderId="5" xfId="3" applyNumberFormat="1" applyFont="1" applyFill="1" applyBorder="1" applyAlignment="1" applyProtection="1">
      <alignment horizontal="right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vertical="center" wrapText="1"/>
    </xf>
    <xf numFmtId="6" fontId="5" fillId="0" borderId="10" xfId="0" applyNumberFormat="1" applyFont="1" applyFill="1" applyBorder="1" applyAlignment="1">
      <alignment horizontal="left" vertical="center" wrapText="1"/>
    </xf>
    <xf numFmtId="0" fontId="1" fillId="0" borderId="10" xfId="0" applyNumberFormat="1" applyFont="1" applyFill="1" applyBorder="1" applyAlignment="1" applyProtection="1">
      <alignment horizontal="left" vertical="center" wrapText="1"/>
    </xf>
    <xf numFmtId="0" fontId="4" fillId="0" borderId="9" xfId="0" applyNumberFormat="1" applyFont="1" applyFill="1" applyBorder="1" applyAlignment="1" applyProtection="1">
      <alignment vertical="center" wrapText="1"/>
    </xf>
    <xf numFmtId="0" fontId="4" fillId="0" borderId="11" xfId="0" applyNumberFormat="1" applyFont="1" applyFill="1" applyBorder="1" applyAlignment="1" applyProtection="1">
      <alignment vertical="center" wrapText="1"/>
    </xf>
    <xf numFmtId="0" fontId="6" fillId="0" borderId="0" xfId="0" applyFont="1" applyFill="1" applyBorder="1"/>
    <xf numFmtId="44" fontId="5" fillId="0" borderId="0" xfId="2" applyFont="1" applyFill="1" applyBorder="1" applyAlignment="1">
      <alignment horizontal="right" vertical="center"/>
    </xf>
    <xf numFmtId="44" fontId="5" fillId="0" borderId="0" xfId="2" applyFont="1" applyFill="1" applyBorder="1"/>
    <xf numFmtId="43" fontId="5" fillId="0" borderId="0" xfId="1" applyFont="1" applyFill="1" applyBorder="1" applyAlignment="1">
      <alignment horizontal="right" vertical="center"/>
    </xf>
    <xf numFmtId="43" fontId="6" fillId="0" borderId="0" xfId="1" applyFont="1" applyFill="1" applyBorder="1" applyAlignment="1">
      <alignment horizontal="right" vertical="center"/>
    </xf>
    <xf numFmtId="44" fontId="6" fillId="0" borderId="0" xfId="2" applyFont="1" applyFill="1" applyBorder="1" applyAlignment="1">
      <alignment horizontal="right" vertical="center"/>
    </xf>
    <xf numFmtId="44" fontId="6" fillId="0" borderId="15" xfId="0" applyNumberFormat="1" applyFont="1" applyFill="1" applyBorder="1"/>
    <xf numFmtId="44" fontId="6" fillId="0" borderId="0" xfId="0" applyNumberFormat="1" applyFont="1" applyFill="1" applyBorder="1"/>
    <xf numFmtId="43" fontId="1" fillId="0" borderId="0" xfId="1" applyFont="1" applyFill="1" applyBorder="1" applyAlignment="1" applyProtection="1"/>
    <xf numFmtId="0" fontId="8" fillId="4" borderId="5" xfId="0" applyNumberFormat="1" applyFont="1" applyFill="1" applyBorder="1" applyAlignment="1" applyProtection="1"/>
    <xf numFmtId="43" fontId="9" fillId="0" borderId="20" xfId="1" applyFont="1" applyFill="1" applyBorder="1" applyAlignment="1">
      <alignment horizontal="justify" vertical="center"/>
    </xf>
    <xf numFmtId="43" fontId="10" fillId="0" borderId="0" xfId="1" applyFont="1" applyFill="1" applyBorder="1"/>
    <xf numFmtId="0" fontId="6" fillId="0" borderId="14" xfId="0" applyFont="1" applyFill="1" applyBorder="1" applyAlignment="1">
      <alignment horizontal="left" vertical="center" indent="1"/>
    </xf>
    <xf numFmtId="6" fontId="6" fillId="0" borderId="15" xfId="0" applyNumberFormat="1" applyFont="1" applyFill="1" applyBorder="1" applyAlignment="1">
      <alignment horizontal="right" vertical="center"/>
    </xf>
    <xf numFmtId="0" fontId="7" fillId="2" borderId="6" xfId="0" applyFont="1" applyFill="1" applyBorder="1" applyAlignment="1">
      <alignment horizontal="left" vertical="center" indent="2"/>
    </xf>
    <xf numFmtId="0" fontId="7" fillId="2" borderId="9" xfId="0" applyFont="1" applyFill="1" applyBorder="1" applyAlignment="1">
      <alignment horizontal="left" vertical="center" indent="2"/>
    </xf>
    <xf numFmtId="0" fontId="6" fillId="2" borderId="9" xfId="0" applyFont="1" applyFill="1" applyBorder="1" applyAlignment="1">
      <alignment horizontal="left" vertical="center" indent="2"/>
    </xf>
    <xf numFmtId="44" fontId="7" fillId="2" borderId="8" xfId="2" applyFont="1" applyFill="1" applyBorder="1" applyAlignment="1">
      <alignment horizontal="right" vertical="center"/>
    </xf>
    <xf numFmtId="10" fontId="7" fillId="2" borderId="10" xfId="0" applyNumberFormat="1" applyFont="1" applyFill="1" applyBorder="1" applyAlignment="1">
      <alignment horizontal="right" vertical="center"/>
    </xf>
    <xf numFmtId="168" fontId="6" fillId="2" borderId="10" xfId="1" applyNumberFormat="1" applyFont="1" applyFill="1" applyBorder="1" applyAlignment="1">
      <alignment horizontal="right" vertical="center"/>
    </xf>
    <xf numFmtId="0" fontId="6" fillId="2" borderId="11" xfId="0" applyFont="1" applyFill="1" applyBorder="1" applyAlignment="1">
      <alignment horizontal="left" vertical="center" indent="2"/>
    </xf>
    <xf numFmtId="43" fontId="6" fillId="2" borderId="13" xfId="1" applyFont="1" applyFill="1" applyBorder="1" applyAlignment="1">
      <alignment horizontal="right" vertical="center"/>
    </xf>
    <xf numFmtId="0" fontId="3" fillId="0" borderId="21" xfId="0" applyFont="1" applyFill="1" applyBorder="1"/>
    <xf numFmtId="0" fontId="5" fillId="0" borderId="22" xfId="0" applyFont="1" applyFill="1" applyBorder="1" applyAlignment="1">
      <alignment horizontal="center" vertical="center"/>
    </xf>
    <xf numFmtId="0" fontId="5" fillId="0" borderId="23" xfId="0" applyFont="1" applyFill="1" applyBorder="1" applyAlignment="1">
      <alignment horizontal="center" vertical="center"/>
    </xf>
    <xf numFmtId="0" fontId="6" fillId="0" borderId="25" xfId="0" applyFont="1" applyFill="1" applyBorder="1"/>
    <xf numFmtId="44" fontId="5" fillId="0" borderId="25" xfId="2" applyFont="1" applyFill="1" applyBorder="1" applyAlignment="1">
      <alignment horizontal="right" vertical="center"/>
    </xf>
    <xf numFmtId="44" fontId="5" fillId="0" borderId="25" xfId="2" applyFont="1" applyFill="1" applyBorder="1"/>
    <xf numFmtId="6" fontId="5" fillId="0" borderId="25" xfId="0" applyNumberFormat="1" applyFont="1" applyFill="1" applyBorder="1" applyAlignment="1">
      <alignment horizontal="right" vertical="center"/>
    </xf>
    <xf numFmtId="44" fontId="6" fillId="0" borderId="25" xfId="2" applyFont="1" applyFill="1" applyBorder="1" applyAlignment="1">
      <alignment horizontal="right" vertical="center"/>
    </xf>
    <xf numFmtId="0" fontId="6" fillId="0" borderId="24" xfId="0" applyFont="1" applyFill="1" applyBorder="1" applyAlignment="1">
      <alignment horizontal="justify" vertical="center"/>
    </xf>
    <xf numFmtId="0" fontId="6" fillId="0" borderId="26" xfId="0" applyFont="1" applyFill="1" applyBorder="1" applyAlignment="1">
      <alignment horizontal="justify" vertical="center"/>
    </xf>
    <xf numFmtId="44" fontId="6" fillId="0" borderId="27" xfId="0" applyNumberFormat="1" applyFont="1" applyFill="1" applyBorder="1"/>
    <xf numFmtId="44" fontId="6" fillId="0" borderId="25" xfId="0" applyNumberFormat="1" applyFont="1" applyFill="1" applyBorder="1"/>
    <xf numFmtId="0" fontId="6" fillId="0" borderId="28" xfId="0" applyFont="1" applyFill="1" applyBorder="1" applyAlignment="1">
      <alignment horizontal="justify" vertical="center"/>
    </xf>
    <xf numFmtId="44" fontId="6" fillId="0" borderId="29" xfId="0" applyNumberFormat="1" applyFont="1" applyFill="1" applyBorder="1"/>
    <xf numFmtId="44" fontId="6" fillId="0" borderId="30" xfId="0" applyNumberFormat="1" applyFont="1" applyFill="1" applyBorder="1"/>
    <xf numFmtId="9" fontId="7" fillId="0" borderId="5" xfId="3" applyFont="1" applyFill="1" applyBorder="1" applyAlignment="1" applyProtection="1">
      <alignment horizontal="right" vertical="center" wrapText="1"/>
    </xf>
    <xf numFmtId="6" fontId="6" fillId="0" borderId="0" xfId="0" applyNumberFormat="1" applyFont="1" applyFill="1" applyBorder="1" applyAlignment="1">
      <alignment horizontal="right" vertical="center"/>
    </xf>
    <xf numFmtId="0" fontId="5" fillId="0" borderId="24" xfId="0" applyFont="1" applyFill="1" applyBorder="1" applyAlignment="1">
      <alignment horizontal="left" vertical="center" indent="4"/>
    </xf>
    <xf numFmtId="44" fontId="7" fillId="0" borderId="5" xfId="2" applyFont="1" applyFill="1" applyBorder="1" applyAlignment="1">
      <alignment horizontal="right" vertical="center" wrapText="1"/>
    </xf>
    <xf numFmtId="0" fontId="5" fillId="0" borderId="10" xfId="0" applyFont="1" applyFill="1" applyBorder="1" applyAlignment="1">
      <alignment horizontal="left" vertical="center" wrapText="1"/>
    </xf>
    <xf numFmtId="0" fontId="3" fillId="5" borderId="0" xfId="0" applyNumberFormat="1" applyFont="1" applyFill="1" applyBorder="1" applyAlignment="1" applyProtection="1"/>
    <xf numFmtId="44" fontId="1" fillId="0" borderId="0" xfId="0" applyNumberFormat="1" applyFont="1" applyFill="1" applyBorder="1" applyAlignment="1" applyProtection="1"/>
    <xf numFmtId="44" fontId="1" fillId="0" borderId="5" xfId="0" applyNumberFormat="1" applyFont="1" applyFill="1" applyBorder="1" applyAlignment="1" applyProtection="1"/>
    <xf numFmtId="0" fontId="1" fillId="0" borderId="7" xfId="0" applyNumberFormat="1" applyFont="1" applyFill="1" applyBorder="1" applyAlignment="1" applyProtection="1"/>
    <xf numFmtId="0" fontId="1" fillId="0" borderId="8" xfId="0" applyNumberFormat="1" applyFont="1" applyFill="1" applyBorder="1" applyAlignment="1" applyProtection="1"/>
    <xf numFmtId="44" fontId="1" fillId="0" borderId="12" xfId="0" applyNumberFormat="1" applyFont="1" applyFill="1" applyBorder="1" applyAlignment="1" applyProtection="1"/>
    <xf numFmtId="0" fontId="3" fillId="6" borderId="6" xfId="0" applyNumberFormat="1" applyFont="1" applyFill="1" applyBorder="1" applyAlignment="1" applyProtection="1"/>
    <xf numFmtId="0" fontId="3" fillId="6" borderId="9" xfId="0" applyNumberFormat="1" applyFont="1" applyFill="1" applyBorder="1" applyAlignment="1" applyProtection="1"/>
    <xf numFmtId="0" fontId="3" fillId="6" borderId="11" xfId="0" applyNumberFormat="1" applyFont="1" applyFill="1" applyBorder="1" applyAlignment="1" applyProtection="1"/>
    <xf numFmtId="0" fontId="5" fillId="0" borderId="28" xfId="0" applyFont="1" applyFill="1" applyBorder="1" applyAlignment="1">
      <alignment horizontal="left" vertical="center" indent="4"/>
    </xf>
    <xf numFmtId="43" fontId="5" fillId="0" borderId="29" xfId="1" applyFont="1" applyFill="1" applyBorder="1" applyAlignment="1">
      <alignment horizontal="right" vertical="center"/>
    </xf>
    <xf numFmtId="0" fontId="1" fillId="0" borderId="29" xfId="0" applyNumberFormat="1" applyFont="1" applyFill="1" applyBorder="1" applyAlignment="1" applyProtection="1"/>
    <xf numFmtId="44" fontId="5" fillId="0" borderId="29" xfId="0" applyNumberFormat="1" applyFont="1" applyFill="1" applyBorder="1" applyAlignment="1">
      <alignment horizontal="right" vertical="center"/>
    </xf>
    <xf numFmtId="44" fontId="5" fillId="0" borderId="29" xfId="2" applyFont="1" applyFill="1" applyBorder="1" applyAlignment="1">
      <alignment horizontal="right" vertical="center"/>
    </xf>
    <xf numFmtId="44" fontId="5" fillId="0" borderId="30" xfId="2" applyFont="1" applyFill="1" applyBorder="1" applyAlignment="1">
      <alignment horizontal="right" vertical="center"/>
    </xf>
    <xf numFmtId="0" fontId="5" fillId="0" borderId="24" xfId="0" quotePrefix="1" applyFont="1" applyFill="1" applyBorder="1" applyAlignment="1">
      <alignment horizontal="left" vertical="center" indent="4"/>
    </xf>
    <xf numFmtId="0" fontId="6" fillId="8" borderId="24" xfId="0" applyFont="1" applyFill="1" applyBorder="1" applyAlignment="1">
      <alignment horizontal="left" vertical="center" indent="1"/>
    </xf>
    <xf numFmtId="0" fontId="6" fillId="10" borderId="24" xfId="0" applyFont="1" applyFill="1" applyBorder="1" applyAlignment="1">
      <alignment horizontal="left" vertical="center" indent="1"/>
    </xf>
    <xf numFmtId="0" fontId="11" fillId="7" borderId="32" xfId="0" applyNumberFormat="1" applyFont="1" applyFill="1" applyBorder="1" applyAlignment="1" applyProtection="1">
      <alignment horizontal="center"/>
    </xf>
    <xf numFmtId="0" fontId="6" fillId="0" borderId="28" xfId="0" applyFont="1" applyFill="1" applyBorder="1" applyAlignment="1">
      <alignment horizontal="left" vertical="center" indent="2"/>
    </xf>
    <xf numFmtId="0" fontId="4" fillId="0" borderId="24" xfId="0" quotePrefix="1" applyFont="1" applyFill="1" applyBorder="1" applyAlignment="1">
      <alignment horizontal="left" vertical="center" indent="3"/>
    </xf>
    <xf numFmtId="0" fontId="5" fillId="0" borderId="28" xfId="0" quotePrefix="1" applyFont="1" applyFill="1" applyBorder="1" applyAlignment="1">
      <alignment horizontal="left" vertical="center" indent="2"/>
    </xf>
    <xf numFmtId="0" fontId="6" fillId="9" borderId="21" xfId="0" applyFont="1" applyFill="1" applyBorder="1" applyAlignment="1">
      <alignment horizontal="left" vertical="center" indent="1"/>
    </xf>
    <xf numFmtId="0" fontId="6" fillId="0" borderId="22" xfId="0" applyFont="1" applyFill="1" applyBorder="1"/>
    <xf numFmtId="0" fontId="6" fillId="0" borderId="23" xfId="0" applyFont="1" applyFill="1" applyBorder="1"/>
    <xf numFmtId="43" fontId="5" fillId="0" borderId="25" xfId="1" applyFont="1" applyFill="1" applyBorder="1" applyAlignment="1">
      <alignment horizontal="right" vertical="center"/>
    </xf>
    <xf numFmtId="43" fontId="5" fillId="0" borderId="30" xfId="1" applyFont="1" applyFill="1" applyBorder="1" applyAlignment="1">
      <alignment horizontal="right" vertical="center"/>
    </xf>
    <xf numFmtId="0" fontId="4" fillId="0" borderId="28" xfId="0" quotePrefix="1" applyFont="1" applyFill="1" applyBorder="1" applyAlignment="1">
      <alignment horizontal="left" vertical="center" indent="3"/>
    </xf>
    <xf numFmtId="0" fontId="5" fillId="0" borderId="0" xfId="0" applyFont="1" applyFill="1" applyBorder="1"/>
    <xf numFmtId="44" fontId="5" fillId="0" borderId="0" xfId="0" applyNumberFormat="1" applyFont="1" applyFill="1" applyBorder="1"/>
    <xf numFmtId="0" fontId="5" fillId="0" borderId="25" xfId="0" applyFont="1" applyFill="1" applyBorder="1"/>
    <xf numFmtId="10" fontId="1" fillId="0" borderId="5" xfId="3" applyNumberFormat="1" applyFont="1" applyFill="1" applyBorder="1" applyAlignment="1" applyProtection="1"/>
    <xf numFmtId="0" fontId="1" fillId="0" borderId="9" xfId="0" applyNumberFormat="1" applyFont="1" applyFill="1" applyBorder="1" applyAlignment="1" applyProtection="1"/>
    <xf numFmtId="0" fontId="1" fillId="0" borderId="11" xfId="0" applyNumberFormat="1" applyFont="1" applyFill="1" applyBorder="1" applyAlignment="1" applyProtection="1"/>
    <xf numFmtId="10" fontId="1" fillId="0" borderId="12" xfId="3" applyNumberFormat="1" applyFont="1" applyFill="1" applyBorder="1" applyAlignment="1" applyProtection="1"/>
    <xf numFmtId="0" fontId="3" fillId="0" borderId="6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/>
    <xf numFmtId="0" fontId="3" fillId="0" borderId="8" xfId="0" applyNumberFormat="1" applyFont="1" applyFill="1" applyBorder="1" applyAlignment="1" applyProtection="1"/>
    <xf numFmtId="0" fontId="6" fillId="11" borderId="24" xfId="0" applyFont="1" applyFill="1" applyBorder="1" applyAlignment="1">
      <alignment horizontal="left" vertical="center" indent="2"/>
    </xf>
    <xf numFmtId="0" fontId="6" fillId="12" borderId="33" xfId="0" applyFont="1" applyFill="1" applyBorder="1" applyAlignment="1">
      <alignment horizontal="left" vertical="center" indent="2"/>
    </xf>
    <xf numFmtId="43" fontId="6" fillId="12" borderId="34" xfId="1" applyFont="1" applyFill="1" applyBorder="1" applyAlignment="1">
      <alignment horizontal="right" vertical="center"/>
    </xf>
    <xf numFmtId="43" fontId="6" fillId="12" borderId="35" xfId="1" applyFont="1" applyFill="1" applyBorder="1" applyAlignment="1">
      <alignment horizontal="right" vertical="center"/>
    </xf>
    <xf numFmtId="0" fontId="9" fillId="0" borderId="31" xfId="0" applyNumberFormat="1" applyFont="1" applyFill="1" applyBorder="1" applyAlignment="1" applyProtection="1">
      <alignment vertical="center" wrapText="1"/>
    </xf>
    <xf numFmtId="0" fontId="9" fillId="0" borderId="0" xfId="0" applyNumberFormat="1" applyFont="1" applyFill="1" applyBorder="1" applyAlignment="1" applyProtection="1"/>
    <xf numFmtId="0" fontId="3" fillId="13" borderId="36" xfId="0" applyNumberFormat="1" applyFont="1" applyFill="1" applyBorder="1" applyAlignment="1" applyProtection="1"/>
    <xf numFmtId="43" fontId="5" fillId="0" borderId="4" xfId="1" applyFont="1" applyFill="1" applyBorder="1" applyAlignment="1">
      <alignment horizontal="right" vertical="center"/>
    </xf>
    <xf numFmtId="0" fontId="7" fillId="13" borderId="0" xfId="0" applyNumberFormat="1" applyFont="1" applyFill="1" applyBorder="1" applyAlignment="1" applyProtection="1">
      <alignment vertical="center" wrapText="1"/>
    </xf>
    <xf numFmtId="0" fontId="0" fillId="0" borderId="0" xfId="0" applyNumberFormat="1" applyFont="1" applyFill="1" applyBorder="1" applyAlignment="1" applyProtection="1">
      <alignment horizontal="center"/>
    </xf>
    <xf numFmtId="0" fontId="12" fillId="0" borderId="0" xfId="0" applyNumberFormat="1" applyFont="1" applyFill="1" applyBorder="1" applyAlignment="1" applyProtection="1"/>
    <xf numFmtId="0" fontId="13" fillId="0" borderId="0" xfId="0" applyNumberFormat="1" applyFont="1" applyFill="1" applyBorder="1" applyAlignment="1" applyProtection="1"/>
    <xf numFmtId="2" fontId="3" fillId="0" borderId="12" xfId="0" applyNumberFormat="1" applyFont="1" applyFill="1" applyBorder="1" applyAlignment="1" applyProtection="1">
      <alignment horizontal="center"/>
    </xf>
    <xf numFmtId="0" fontId="3" fillId="13" borderId="0" xfId="0" applyNumberFormat="1" applyFont="1" applyFill="1" applyBorder="1" applyAlignment="1" applyProtection="1"/>
    <xf numFmtId="43" fontId="7" fillId="0" borderId="5" xfId="0" applyNumberFormat="1" applyFont="1" applyFill="1" applyBorder="1" applyAlignment="1" applyProtection="1">
      <alignment horizontal="right" vertical="center" wrapText="1"/>
    </xf>
    <xf numFmtId="43" fontId="3" fillId="14" borderId="32" xfId="1" applyFont="1" applyFill="1" applyBorder="1" applyAlignment="1" applyProtection="1"/>
    <xf numFmtId="166" fontId="3" fillId="14" borderId="32" xfId="2" applyNumberFormat="1" applyFont="1" applyFill="1" applyBorder="1" applyAlignment="1" applyProtection="1"/>
    <xf numFmtId="9" fontId="1" fillId="0" borderId="5" xfId="3" applyFont="1" applyFill="1" applyBorder="1" applyAlignment="1" applyProtection="1">
      <alignment vertical="center"/>
    </xf>
    <xf numFmtId="9" fontId="1" fillId="0" borderId="5" xfId="3" applyFont="1" applyFill="1" applyBorder="1" applyAlignment="1" applyProtection="1"/>
    <xf numFmtId="44" fontId="1" fillId="0" borderId="5" xfId="2" applyFont="1" applyFill="1" applyBorder="1" applyAlignment="1" applyProtection="1"/>
    <xf numFmtId="0" fontId="1" fillId="0" borderId="10" xfId="0" applyNumberFormat="1" applyFont="1" applyFill="1" applyBorder="1" applyAlignment="1" applyProtection="1"/>
    <xf numFmtId="0" fontId="1" fillId="0" borderId="13" xfId="0" applyNumberFormat="1" applyFont="1" applyFill="1" applyBorder="1" applyAlignment="1" applyProtection="1"/>
    <xf numFmtId="44" fontId="3" fillId="14" borderId="32" xfId="2" applyFont="1" applyFill="1" applyBorder="1" applyAlignment="1" applyProtection="1"/>
    <xf numFmtId="0" fontId="13" fillId="0" borderId="0" xfId="0" applyNumberFormat="1" applyFont="1" applyFill="1" applyBorder="1" applyAlignment="1" applyProtection="1">
      <alignment horizontal="center"/>
    </xf>
    <xf numFmtId="9" fontId="3" fillId="14" borderId="32" xfId="3" applyFont="1" applyFill="1" applyBorder="1" applyAlignment="1" applyProtection="1"/>
    <xf numFmtId="44" fontId="7" fillId="0" borderId="5" xfId="0" applyNumberFormat="1" applyFont="1" applyFill="1" applyBorder="1" applyAlignment="1" applyProtection="1">
      <alignment horizontal="right" vertical="center" wrapText="1"/>
    </xf>
    <xf numFmtId="0" fontId="13" fillId="0" borderId="0" xfId="0" applyNumberFormat="1" applyFont="1" applyFill="1" applyBorder="1" applyAlignment="1" applyProtection="1">
      <alignment horizontal="right"/>
    </xf>
    <xf numFmtId="44" fontId="3" fillId="14" borderId="36" xfId="2" applyFont="1" applyFill="1" applyBorder="1" applyAlignment="1" applyProtection="1"/>
    <xf numFmtId="44" fontId="3" fillId="0" borderId="5" xfId="0" applyNumberFormat="1" applyFont="1" applyFill="1" applyBorder="1" applyAlignment="1" applyProtection="1">
      <alignment vertical="center"/>
    </xf>
    <xf numFmtId="0" fontId="3" fillId="13" borderId="0" xfId="0" applyNumberFormat="1" applyFont="1" applyFill="1" applyBorder="1" applyAlignment="1" applyProtection="1">
      <alignment horizontal="left"/>
    </xf>
    <xf numFmtId="0" fontId="0" fillId="14" borderId="32" xfId="0" applyNumberFormat="1" applyFont="1" applyFill="1" applyBorder="1" applyAlignment="1" applyProtection="1"/>
    <xf numFmtId="9" fontId="0" fillId="14" borderId="32" xfId="3" applyFont="1" applyFill="1" applyBorder="1" applyAlignment="1" applyProtection="1"/>
    <xf numFmtId="44" fontId="7" fillId="0" borderId="5" xfId="0" applyNumberFormat="1" applyFont="1" applyFill="1" applyBorder="1" applyAlignment="1">
      <alignment horizontal="right" vertical="center" wrapText="1"/>
    </xf>
    <xf numFmtId="169" fontId="1" fillId="0" borderId="12" xfId="0" applyNumberFormat="1" applyFont="1" applyFill="1" applyBorder="1" applyAlignment="1" applyProtection="1"/>
    <xf numFmtId="44" fontId="12" fillId="15" borderId="32" xfId="2" applyFont="1" applyFill="1" applyBorder="1" applyAlignment="1" applyProtection="1"/>
    <xf numFmtId="44" fontId="12" fillId="16" borderId="32" xfId="2" applyFont="1" applyFill="1" applyBorder="1" applyAlignment="1" applyProtection="1"/>
    <xf numFmtId="43" fontId="12" fillId="16" borderId="36" xfId="1" applyFont="1" applyFill="1" applyBorder="1" applyAlignment="1" applyProtection="1"/>
    <xf numFmtId="43" fontId="12" fillId="16" borderId="32" xfId="0" applyNumberFormat="1" applyFont="1" applyFill="1" applyBorder="1" applyAlignment="1" applyProtection="1"/>
    <xf numFmtId="10" fontId="0" fillId="14" borderId="36" xfId="3" applyNumberFormat="1" applyFont="1" applyFill="1" applyBorder="1" applyAlignment="1" applyProtection="1"/>
    <xf numFmtId="167" fontId="1" fillId="0" borderId="5" xfId="3" applyNumberFormat="1" applyFont="1" applyFill="1" applyBorder="1" applyAlignment="1" applyProtection="1"/>
    <xf numFmtId="0" fontId="0" fillId="0" borderId="0" xfId="0" applyNumberFormat="1" applyFont="1" applyFill="1" applyBorder="1" applyAlignment="1" applyProtection="1">
      <alignment horizontal="center" vertical="center"/>
    </xf>
    <xf numFmtId="44" fontId="12" fillId="16" borderId="32" xfId="0" applyNumberFormat="1" applyFont="1" applyFill="1" applyBorder="1" applyAlignment="1" applyProtection="1"/>
    <xf numFmtId="167" fontId="3" fillId="14" borderId="32" xfId="3" applyNumberFormat="1" applyFont="1" applyFill="1" applyBorder="1" applyAlignment="1" applyProtection="1"/>
    <xf numFmtId="10" fontId="3" fillId="14" borderId="32" xfId="3" applyNumberFormat="1" applyFont="1" applyFill="1" applyBorder="1" applyAlignment="1" applyProtection="1"/>
    <xf numFmtId="0" fontId="7" fillId="6" borderId="6" xfId="0" applyFont="1" applyFill="1" applyBorder="1" applyAlignment="1">
      <alignment horizontal="right" vertical="center"/>
    </xf>
    <xf numFmtId="0" fontId="7" fillId="6" borderId="9" xfId="0" applyFont="1" applyFill="1" applyBorder="1" applyAlignment="1">
      <alignment horizontal="right" vertical="center"/>
    </xf>
    <xf numFmtId="0" fontId="6" fillId="6" borderId="9" xfId="0" applyFont="1" applyFill="1" applyBorder="1" applyAlignment="1">
      <alignment horizontal="right" vertical="center"/>
    </xf>
    <xf numFmtId="0" fontId="7" fillId="0" borderId="0" xfId="0" applyNumberFormat="1" applyFont="1" applyFill="1" applyBorder="1" applyAlignment="1" applyProtection="1">
      <alignment horizontal="left" vertical="center" wrapText="1" indent="30"/>
    </xf>
    <xf numFmtId="0" fontId="0" fillId="0" borderId="0" xfId="0" applyNumberFormat="1" applyFont="1" applyFill="1" applyBorder="1" applyAlignment="1" applyProtection="1">
      <alignment horizontal="left" indent="30"/>
    </xf>
    <xf numFmtId="44" fontId="0" fillId="0" borderId="0" xfId="0" applyNumberFormat="1" applyFont="1" applyFill="1" applyBorder="1" applyAlignment="1" applyProtection="1"/>
    <xf numFmtId="2" fontId="0" fillId="0" borderId="5" xfId="0" applyNumberFormat="1" applyFont="1" applyFill="1" applyBorder="1" applyAlignment="1" applyProtection="1">
      <alignment horizontal="left" indent="3"/>
    </xf>
    <xf numFmtId="0" fontId="0" fillId="0" borderId="22" xfId="0" applyNumberFormat="1" applyFont="1" applyFill="1" applyBorder="1" applyAlignment="1" applyProtection="1"/>
    <xf numFmtId="0" fontId="0" fillId="0" borderId="23" xfId="0" applyNumberFormat="1" applyFont="1" applyFill="1" applyBorder="1" applyAlignment="1" applyProtection="1"/>
    <xf numFmtId="0" fontId="0" fillId="0" borderId="24" xfId="0" applyNumberFormat="1" applyFont="1" applyFill="1" applyBorder="1" applyAlignment="1" applyProtection="1"/>
    <xf numFmtId="0" fontId="0" fillId="0" borderId="25" xfId="0" applyNumberFormat="1" applyFont="1" applyFill="1" applyBorder="1" applyAlignment="1" applyProtection="1"/>
    <xf numFmtId="0" fontId="0" fillId="0" borderId="28" xfId="0" applyNumberFormat="1" applyFont="1" applyFill="1" applyBorder="1" applyAlignment="1" applyProtection="1"/>
    <xf numFmtId="0" fontId="0" fillId="0" borderId="29" xfId="0" applyNumberFormat="1" applyFont="1" applyFill="1" applyBorder="1" applyAlignment="1" applyProtection="1"/>
    <xf numFmtId="0" fontId="0" fillId="0" borderId="30" xfId="0" applyNumberFormat="1" applyFont="1" applyFill="1" applyBorder="1" applyAlignment="1" applyProtection="1"/>
    <xf numFmtId="0" fontId="3" fillId="2" borderId="32" xfId="0" applyNumberFormat="1" applyFont="1" applyFill="1" applyBorder="1" applyAlignment="1" applyProtection="1"/>
    <xf numFmtId="0" fontId="3" fillId="0" borderId="24" xfId="0" applyNumberFormat="1" applyFont="1" applyFill="1" applyBorder="1" applyAlignment="1" applyProtection="1"/>
    <xf numFmtId="0" fontId="1" fillId="0" borderId="5" xfId="0" applyNumberFormat="1" applyFont="1" applyFill="1" applyBorder="1" applyAlignment="1" applyProtection="1"/>
    <xf numFmtId="3" fontId="0" fillId="0" borderId="5" xfId="0" applyNumberFormat="1" applyFont="1" applyFill="1" applyBorder="1" applyAlignment="1" applyProtection="1">
      <alignment horizontal="left"/>
    </xf>
    <xf numFmtId="0" fontId="0" fillId="0" borderId="5" xfId="0" applyNumberFormat="1" applyFont="1" applyFill="1" applyBorder="1" applyAlignment="1" applyProtection="1"/>
    <xf numFmtId="0" fontId="3" fillId="0" borderId="22" xfId="0" applyNumberFormat="1" applyFont="1" applyFill="1" applyBorder="1" applyAlignment="1" applyProtection="1"/>
    <xf numFmtId="0" fontId="3" fillId="0" borderId="9" xfId="0" applyNumberFormat="1" applyFont="1" applyFill="1" applyBorder="1" applyAlignment="1" applyProtection="1"/>
    <xf numFmtId="43" fontId="0" fillId="0" borderId="0" xfId="1" applyFont="1" applyFill="1" applyBorder="1" applyAlignment="1" applyProtection="1"/>
    <xf numFmtId="43" fontId="0" fillId="0" borderId="5" xfId="1" applyFont="1" applyFill="1" applyBorder="1" applyAlignment="1" applyProtection="1"/>
    <xf numFmtId="43" fontId="0" fillId="0" borderId="0" xfId="0" applyNumberFormat="1" applyFont="1" applyFill="1" applyBorder="1" applyAlignment="1" applyProtection="1"/>
    <xf numFmtId="0" fontId="0" fillId="0" borderId="10" xfId="0" applyNumberFormat="1" applyFont="1" applyFill="1" applyBorder="1" applyAlignment="1" applyProtection="1"/>
    <xf numFmtId="43" fontId="0" fillId="0" borderId="12" xfId="0" applyNumberFormat="1" applyFont="1" applyFill="1" applyBorder="1" applyAlignment="1" applyProtection="1"/>
    <xf numFmtId="43" fontId="3" fillId="0" borderId="0" xfId="1" applyFont="1" applyFill="1" applyBorder="1" applyAlignment="1" applyProtection="1"/>
    <xf numFmtId="0" fontId="1" fillId="0" borderId="0" xfId="0" applyNumberFormat="1" applyFont="1" applyFill="1" applyBorder="1" applyAlignment="1" applyProtection="1">
      <alignment horizontal="center"/>
    </xf>
    <xf numFmtId="44" fontId="0" fillId="0" borderId="0" xfId="0" applyNumberFormat="1" applyFont="1" applyFill="1" applyBorder="1" applyAlignment="1" applyProtection="1">
      <alignment horizontal="center"/>
    </xf>
    <xf numFmtId="44" fontId="1" fillId="0" borderId="0" xfId="2" applyFont="1" applyFill="1" applyBorder="1" applyAlignment="1" applyProtection="1"/>
    <xf numFmtId="9" fontId="12" fillId="15" borderId="32" xfId="3" applyFont="1" applyFill="1" applyBorder="1" applyAlignment="1" applyProtection="1"/>
    <xf numFmtId="0" fontId="1" fillId="0" borderId="21" xfId="0" applyNumberFormat="1" applyFont="1" applyFill="1" applyBorder="1" applyAlignment="1" applyProtection="1"/>
    <xf numFmtId="0" fontId="1" fillId="0" borderId="22" xfId="0" applyNumberFormat="1" applyFont="1" applyFill="1" applyBorder="1" applyAlignment="1" applyProtection="1"/>
    <xf numFmtId="0" fontId="1" fillId="0" borderId="23" xfId="0" applyNumberFormat="1" applyFont="1" applyFill="1" applyBorder="1" applyAlignment="1" applyProtection="1"/>
    <xf numFmtId="0" fontId="1" fillId="0" borderId="24" xfId="0" applyNumberFormat="1" applyFont="1" applyFill="1" applyBorder="1" applyAlignment="1" applyProtection="1"/>
    <xf numFmtId="44" fontId="1" fillId="0" borderId="25" xfId="2" applyFont="1" applyFill="1" applyBorder="1" applyAlignment="1" applyProtection="1"/>
    <xf numFmtId="0" fontId="1" fillId="0" borderId="28" xfId="0" applyNumberFormat="1" applyFont="1" applyFill="1" applyBorder="1" applyAlignment="1" applyProtection="1"/>
    <xf numFmtId="43" fontId="1" fillId="0" borderId="29" xfId="1" applyFont="1" applyFill="1" applyBorder="1" applyAlignment="1" applyProtection="1"/>
    <xf numFmtId="43" fontId="1" fillId="0" borderId="30" xfId="1" applyFont="1" applyFill="1" applyBorder="1" applyAlignment="1" applyProtection="1"/>
    <xf numFmtId="171" fontId="1" fillId="0" borderId="0" xfId="2" applyNumberFormat="1" applyFont="1" applyFill="1" applyBorder="1" applyAlignment="1" applyProtection="1"/>
    <xf numFmtId="8" fontId="1" fillId="0" borderId="0" xfId="0" applyNumberFormat="1" applyFont="1" applyFill="1" applyBorder="1" applyAlignment="1" applyProtection="1"/>
    <xf numFmtId="170" fontId="3" fillId="0" borderId="5" xfId="0" applyNumberFormat="1" applyFont="1" applyFill="1" applyBorder="1" applyAlignment="1" applyProtection="1">
      <alignment horizontal="left" indent="3"/>
    </xf>
    <xf numFmtId="10" fontId="0" fillId="0" borderId="5" xfId="0" applyNumberFormat="1" applyFont="1" applyFill="1" applyBorder="1" applyAlignment="1" applyProtection="1">
      <alignment horizontal="left" indent="3"/>
    </xf>
    <xf numFmtId="0" fontId="3" fillId="6" borderId="9" xfId="0" applyNumberFormat="1" applyFont="1" applyFill="1" applyBorder="1" applyAlignment="1" applyProtection="1">
      <alignment horizontal="right"/>
    </xf>
    <xf numFmtId="0" fontId="3" fillId="6" borderId="9" xfId="0" applyNumberFormat="1" applyFont="1" applyFill="1" applyBorder="1" applyAlignment="1" applyProtection="1">
      <alignment horizontal="center"/>
    </xf>
    <xf numFmtId="2" fontId="0" fillId="0" borderId="5" xfId="0" applyNumberFormat="1" applyFont="1" applyFill="1" applyBorder="1" applyAlignment="1" applyProtection="1">
      <alignment horizontal="left" vertical="center" indent="3"/>
    </xf>
    <xf numFmtId="170" fontId="3" fillId="0" borderId="5" xfId="2" applyNumberFormat="1" applyFont="1" applyFill="1" applyBorder="1" applyAlignment="1" applyProtection="1">
      <alignment horizontal="left" indent="3"/>
    </xf>
    <xf numFmtId="170" fontId="3" fillId="0" borderId="7" xfId="0" applyNumberFormat="1" applyFont="1" applyFill="1" applyBorder="1" applyAlignment="1" applyProtection="1">
      <alignment horizontal="left" indent="3"/>
    </xf>
    <xf numFmtId="0" fontId="0" fillId="0" borderId="10" xfId="0" applyNumberFormat="1" applyFont="1" applyFill="1" applyBorder="1" applyAlignment="1" applyProtection="1">
      <alignment horizontal="center" vertical="center" wrapText="1"/>
    </xf>
    <xf numFmtId="0" fontId="3" fillId="6" borderId="32" xfId="0" applyNumberFormat="1" applyFont="1" applyFill="1" applyBorder="1" applyAlignment="1" applyProtection="1">
      <alignment horizontal="center"/>
    </xf>
    <xf numFmtId="0" fontId="3" fillId="0" borderId="10" xfId="0" applyNumberFormat="1" applyFont="1" applyFill="1" applyBorder="1" applyAlignment="1" applyProtection="1">
      <alignment wrapText="1"/>
    </xf>
    <xf numFmtId="43" fontId="7" fillId="2" borderId="5" xfId="0" applyNumberFormat="1" applyFont="1" applyFill="1" applyBorder="1" applyAlignment="1" applyProtection="1">
      <alignment horizontal="right" vertical="center" wrapText="1"/>
    </xf>
    <xf numFmtId="43" fontId="7" fillId="2" borderId="5" xfId="1" applyFont="1" applyFill="1" applyBorder="1" applyAlignment="1">
      <alignment horizontal="right" vertical="center" wrapText="1"/>
    </xf>
    <xf numFmtId="1" fontId="7" fillId="2" borderId="5" xfId="0" applyNumberFormat="1" applyFont="1" applyFill="1" applyBorder="1" applyAlignment="1">
      <alignment horizontal="right" vertical="center" wrapText="1"/>
    </xf>
    <xf numFmtId="166" fontId="7" fillId="2" borderId="5" xfId="2" applyNumberFormat="1" applyFont="1" applyFill="1" applyBorder="1" applyAlignment="1">
      <alignment horizontal="right" vertical="center" wrapText="1"/>
    </xf>
    <xf numFmtId="44" fontId="7" fillId="2" borderId="5" xfId="0" applyNumberFormat="1" applyFont="1" applyFill="1" applyBorder="1" applyAlignment="1">
      <alignment horizontal="right" vertical="center" wrapText="1"/>
    </xf>
    <xf numFmtId="44" fontId="7" fillId="2" borderId="5" xfId="2" applyFont="1" applyFill="1" applyBorder="1" applyAlignment="1">
      <alignment horizontal="right" vertical="center" wrapText="1"/>
    </xf>
    <xf numFmtId="44" fontId="7" fillId="2" borderId="5" xfId="2" applyFont="1" applyFill="1" applyBorder="1" applyAlignment="1" applyProtection="1">
      <alignment horizontal="right" vertical="center" wrapText="1"/>
    </xf>
    <xf numFmtId="44" fontId="7" fillId="2" borderId="5" xfId="0" applyNumberFormat="1" applyFont="1" applyFill="1" applyBorder="1" applyAlignment="1" applyProtection="1">
      <alignment horizontal="right" vertical="center" wrapText="1"/>
    </xf>
    <xf numFmtId="9" fontId="7" fillId="2" borderId="5" xfId="3" applyFont="1" applyFill="1" applyBorder="1" applyAlignment="1" applyProtection="1">
      <alignment horizontal="right" vertical="center" wrapText="1"/>
    </xf>
    <xf numFmtId="167" fontId="3" fillId="2" borderId="5" xfId="3" applyNumberFormat="1" applyFont="1" applyFill="1" applyBorder="1" applyAlignment="1" applyProtection="1">
      <alignment horizontal="right" vertical="center" wrapText="1"/>
    </xf>
    <xf numFmtId="44" fontId="3" fillId="2" borderId="5" xfId="0" applyNumberFormat="1" applyFont="1" applyFill="1" applyBorder="1" applyAlignment="1" applyProtection="1">
      <alignment vertical="center"/>
    </xf>
    <xf numFmtId="9" fontId="1" fillId="2" borderId="5" xfId="3" applyFont="1" applyFill="1" applyBorder="1" applyAlignment="1" applyProtection="1">
      <alignment vertical="center"/>
    </xf>
    <xf numFmtId="9" fontId="1" fillId="2" borderId="5" xfId="3" applyFont="1" applyFill="1" applyBorder="1" applyAlignment="1" applyProtection="1"/>
    <xf numFmtId="44" fontId="1" fillId="2" borderId="5" xfId="2" applyFont="1" applyFill="1" applyBorder="1" applyAlignment="1" applyProtection="1"/>
    <xf numFmtId="167" fontId="1" fillId="2" borderId="5" xfId="3" applyNumberFormat="1" applyFont="1" applyFill="1" applyBorder="1" applyAlignment="1" applyProtection="1"/>
    <xf numFmtId="169" fontId="1" fillId="2" borderId="12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right" indent="1"/>
    </xf>
    <xf numFmtId="3" fontId="0" fillId="0" borderId="0" xfId="0" applyNumberFormat="1" applyFont="1" applyFill="1" applyBorder="1" applyAlignment="1" applyProtection="1"/>
    <xf numFmtId="0" fontId="5" fillId="0" borderId="28" xfId="0" quotePrefix="1" applyFont="1" applyFill="1" applyBorder="1" applyAlignment="1">
      <alignment horizontal="left" vertical="center" indent="4"/>
    </xf>
    <xf numFmtId="0" fontId="15" fillId="0" borderId="35" xfId="0" applyNumberFormat="1" applyFont="1" applyFill="1" applyBorder="1" applyAlignment="1" applyProtection="1">
      <alignment horizontal="left" indent="2"/>
    </xf>
    <xf numFmtId="0" fontId="3" fillId="0" borderId="0" xfId="0" applyNumberFormat="1" applyFont="1" applyFill="1" applyBorder="1" applyAlignment="1" applyProtection="1">
      <alignment horizontal="right"/>
    </xf>
    <xf numFmtId="170" fontId="3" fillId="0" borderId="0" xfId="0" applyNumberFormat="1" applyFont="1" applyFill="1" applyBorder="1" applyAlignment="1" applyProtection="1">
      <alignment horizontal="left" indent="3"/>
    </xf>
    <xf numFmtId="0" fontId="3" fillId="0" borderId="0" xfId="0" applyNumberFormat="1" applyFont="1" applyFill="1" applyBorder="1" applyAlignment="1" applyProtection="1">
      <alignment horizontal="center"/>
    </xf>
    <xf numFmtId="170" fontId="3" fillId="0" borderId="0" xfId="2" applyNumberFormat="1" applyFont="1" applyFill="1" applyBorder="1" applyAlignment="1" applyProtection="1">
      <alignment horizontal="left" indent="3"/>
    </xf>
    <xf numFmtId="0" fontId="6" fillId="6" borderId="11" xfId="0" applyFont="1" applyFill="1" applyBorder="1" applyAlignment="1">
      <alignment horizontal="right" vertical="center"/>
    </xf>
    <xf numFmtId="0" fontId="3" fillId="6" borderId="11" xfId="0" applyNumberFormat="1" applyFont="1" applyFill="1" applyBorder="1" applyAlignment="1" applyProtection="1">
      <alignment horizontal="center" vertical="center"/>
    </xf>
    <xf numFmtId="170" fontId="3" fillId="0" borderId="12" xfId="0" applyNumberFormat="1" applyFont="1" applyFill="1" applyBorder="1" applyAlignment="1" applyProtection="1">
      <alignment horizontal="left" vertical="center" indent="3"/>
    </xf>
    <xf numFmtId="0" fontId="7" fillId="0" borderId="0" xfId="0" applyNumberFormat="1" applyFont="1" applyFill="1" applyBorder="1" applyAlignment="1" applyProtection="1">
      <alignment horizontal="left" vertical="center" wrapText="1" indent="43"/>
    </xf>
    <xf numFmtId="0" fontId="0" fillId="0" borderId="0" xfId="0" applyNumberFormat="1" applyFont="1" applyFill="1" applyBorder="1" applyAlignment="1" applyProtection="1">
      <alignment horizontal="left" indent="43"/>
    </xf>
    <xf numFmtId="0" fontId="0" fillId="0" borderId="0" xfId="0" applyNumberFormat="1" applyFont="1" applyFill="1" applyBorder="1" applyAlignment="1" applyProtection="1">
      <alignment horizontal="left" indent="13"/>
    </xf>
    <xf numFmtId="0" fontId="17" fillId="6" borderId="32" xfId="0" applyNumberFormat="1" applyFont="1" applyFill="1" applyBorder="1" applyAlignment="1" applyProtection="1">
      <alignment horizontal="center"/>
    </xf>
    <xf numFmtId="0" fontId="17" fillId="5" borderId="32" xfId="0" applyNumberFormat="1" applyFont="1" applyFill="1" applyBorder="1" applyAlignment="1" applyProtection="1">
      <alignment horizontal="center"/>
    </xf>
    <xf numFmtId="0" fontId="3" fillId="0" borderId="0" xfId="0" applyNumberFormat="1" applyFont="1" applyFill="1" applyBorder="1" applyAlignment="1" applyProtection="1">
      <alignment horizontal="right" indent="3"/>
    </xf>
    <xf numFmtId="0" fontId="1" fillId="0" borderId="31" xfId="0" applyNumberFormat="1" applyFont="1" applyFill="1" applyBorder="1" applyAlignment="1" applyProtection="1">
      <alignment vertical="center" wrapText="1"/>
    </xf>
    <xf numFmtId="9" fontId="1" fillId="0" borderId="0" xfId="0" applyNumberFormat="1" applyFont="1" applyFill="1" applyBorder="1" applyAlignment="1" applyProtection="1"/>
    <xf numFmtId="0" fontId="16" fillId="0" borderId="0" xfId="0" applyNumberFormat="1" applyFont="1" applyFill="1" applyBorder="1" applyAlignment="1" applyProtection="1">
      <alignment horizontal="center"/>
    </xf>
    <xf numFmtId="0" fontId="16" fillId="0" borderId="0" xfId="0" applyNumberFormat="1" applyFont="1" applyFill="1" applyBorder="1" applyAlignment="1" applyProtection="1">
      <alignment horizontal="right"/>
    </xf>
    <xf numFmtId="0" fontId="16" fillId="0" borderId="0" xfId="0" applyNumberFormat="1" applyFont="1" applyFill="1" applyBorder="1" applyAlignment="1" applyProtection="1"/>
    <xf numFmtId="43" fontId="1" fillId="0" borderId="0" xfId="0" applyNumberFormat="1" applyFont="1" applyFill="1" applyBorder="1" applyAlignment="1" applyProtection="1"/>
    <xf numFmtId="0" fontId="3" fillId="6" borderId="0" xfId="0" applyNumberFormat="1" applyFont="1" applyFill="1" applyBorder="1" applyAlignment="1" applyProtection="1"/>
    <xf numFmtId="0" fontId="1" fillId="0" borderId="6" xfId="0" applyNumberFormat="1" applyFont="1" applyFill="1" applyBorder="1" applyAlignment="1" applyProtection="1"/>
    <xf numFmtId="44" fontId="1" fillId="0" borderId="12" xfId="2" applyFont="1" applyFill="1" applyBorder="1" applyAlignment="1" applyProtection="1"/>
    <xf numFmtId="44" fontId="1" fillId="0" borderId="13" xfId="2" applyFont="1" applyFill="1" applyBorder="1" applyAlignment="1" applyProtection="1"/>
    <xf numFmtId="44" fontId="1" fillId="0" borderId="23" xfId="2" applyFont="1" applyFill="1" applyBorder="1" applyAlignment="1" applyProtection="1"/>
    <xf numFmtId="44" fontId="1" fillId="0" borderId="30" xfId="2" applyFont="1" applyFill="1" applyBorder="1" applyAlignment="1" applyProtection="1"/>
    <xf numFmtId="0" fontId="16" fillId="5" borderId="32" xfId="0" applyNumberFormat="1" applyFont="1" applyFill="1" applyBorder="1" applyAlignment="1" applyProtection="1">
      <alignment horizontal="right" indent="1"/>
    </xf>
    <xf numFmtId="170" fontId="0" fillId="0" borderId="0" xfId="0" applyNumberFormat="1" applyFont="1" applyFill="1" applyBorder="1" applyAlignment="1" applyProtection="1">
      <alignment horizontal="left" indent="2"/>
    </xf>
    <xf numFmtId="166" fontId="16" fillId="14" borderId="32" xfId="2" applyNumberFormat="1" applyFont="1" applyFill="1" applyBorder="1" applyAlignment="1" applyProtection="1"/>
    <xf numFmtId="0" fontId="0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NumberFormat="1" applyFont="1" applyFill="1" applyBorder="1" applyAlignment="1" applyProtection="1">
      <alignment wrapText="1"/>
    </xf>
    <xf numFmtId="170" fontId="3" fillId="0" borderId="8" xfId="0" applyNumberFormat="1" applyFont="1" applyFill="1" applyBorder="1" applyAlignment="1" applyProtection="1">
      <alignment horizontal="left" indent="3"/>
    </xf>
    <xf numFmtId="10" fontId="0" fillId="0" borderId="10" xfId="0" applyNumberFormat="1" applyFont="1" applyFill="1" applyBorder="1" applyAlignment="1" applyProtection="1">
      <alignment horizontal="left" indent="3"/>
    </xf>
    <xf numFmtId="2" fontId="0" fillId="0" borderId="10" xfId="0" applyNumberFormat="1" applyFont="1" applyFill="1" applyBorder="1" applyAlignment="1" applyProtection="1">
      <alignment horizontal="left" vertical="center" indent="3"/>
    </xf>
    <xf numFmtId="2" fontId="0" fillId="0" borderId="13" xfId="0" applyNumberFormat="1" applyFont="1" applyFill="1" applyBorder="1" applyAlignment="1" applyProtection="1">
      <alignment horizontal="left" vertical="center" indent="3"/>
    </xf>
    <xf numFmtId="0" fontId="18" fillId="0" borderId="0" xfId="0" applyNumberFormat="1" applyFont="1" applyFill="1" applyBorder="1" applyAlignment="1" applyProtection="1"/>
    <xf numFmtId="165" fontId="18" fillId="0" borderId="0" xfId="0" applyNumberFormat="1" applyFont="1" applyFill="1" applyBorder="1" applyAlignment="1" applyProtection="1"/>
    <xf numFmtId="10" fontId="0" fillId="0" borderId="0" xfId="0" applyNumberFormat="1" applyFont="1" applyFill="1" applyBorder="1" applyAlignment="1" applyProtection="1"/>
    <xf numFmtId="0" fontId="1" fillId="0" borderId="0" xfId="0" applyNumberFormat="1" applyFont="1" applyFill="1" applyBorder="1" applyAlignment="1" applyProtection="1">
      <alignment wrapText="1"/>
    </xf>
    <xf numFmtId="0" fontId="0" fillId="0" borderId="0" xfId="1" applyNumberFormat="1" applyFont="1" applyFill="1" applyBorder="1" applyAlignment="1" applyProtection="1">
      <alignment horizontal="center"/>
    </xf>
    <xf numFmtId="2" fontId="0" fillId="0" borderId="0" xfId="0" applyNumberFormat="1" applyFont="1" applyFill="1" applyBorder="1" applyAlignment="1" applyProtection="1"/>
    <xf numFmtId="0" fontId="0" fillId="0" borderId="0" xfId="0" applyNumberFormat="1" applyFont="1" applyFill="1" applyBorder="1" applyAlignment="1" applyProtection="1">
      <alignment wrapText="1"/>
    </xf>
    <xf numFmtId="0" fontId="21" fillId="0" borderId="0" xfId="0" applyNumberFormat="1" applyFont="1" applyFill="1" applyBorder="1" applyAlignment="1" applyProtection="1"/>
    <xf numFmtId="0" fontId="0" fillId="0" borderId="0" xfId="0" applyNumberFormat="1" applyFont="1" applyFill="1" applyBorder="1" applyAlignment="1" applyProtection="1">
      <alignment horizontal="right"/>
    </xf>
    <xf numFmtId="0" fontId="0" fillId="0" borderId="0" xfId="0" applyNumberFormat="1" applyFont="1" applyFill="1" applyBorder="1" applyAlignment="1" applyProtection="1">
      <alignment horizontal="right" indent="30"/>
    </xf>
    <xf numFmtId="10" fontId="18" fillId="0" borderId="0" xfId="0" applyNumberFormat="1" applyFont="1" applyFill="1" applyBorder="1" applyAlignment="1" applyProtection="1"/>
    <xf numFmtId="175" fontId="18" fillId="0" borderId="0" xfId="0" applyNumberFormat="1" applyFont="1" applyFill="1" applyBorder="1" applyAlignment="1" applyProtection="1"/>
    <xf numFmtId="9" fontId="1" fillId="0" borderId="0" xfId="0" applyNumberFormat="1" applyFont="1" applyFill="1" applyBorder="1" applyAlignment="1" applyProtection="1">
      <alignment wrapText="1"/>
    </xf>
    <xf numFmtId="9" fontId="0" fillId="0" borderId="0" xfId="0" applyNumberFormat="1" applyFont="1" applyFill="1" applyBorder="1" applyAlignment="1" applyProtection="1"/>
    <xf numFmtId="164" fontId="0" fillId="0" borderId="0" xfId="0" applyNumberFormat="1" applyFont="1" applyFill="1" applyBorder="1" applyAlignment="1" applyProtection="1"/>
    <xf numFmtId="169" fontId="0" fillId="0" borderId="0" xfId="0" applyNumberFormat="1" applyFont="1" applyFill="1" applyBorder="1" applyAlignment="1" applyProtection="1"/>
    <xf numFmtId="177" fontId="0" fillId="0" borderId="0" xfId="0" applyNumberFormat="1" applyFont="1" applyFill="1" applyBorder="1" applyAlignment="1" applyProtection="1"/>
    <xf numFmtId="0" fontId="22" fillId="0" borderId="0" xfId="0" applyNumberFormat="1" applyFont="1" applyFill="1" applyBorder="1" applyAlignment="1" applyProtection="1">
      <alignment horizontal="left" indent="2"/>
    </xf>
    <xf numFmtId="172" fontId="12" fillId="16" borderId="36" xfId="1" applyNumberFormat="1" applyFont="1" applyFill="1" applyBorder="1" applyAlignment="1" applyProtection="1"/>
    <xf numFmtId="0" fontId="1" fillId="0" borderId="0" xfId="0" applyNumberFormat="1" applyFont="1" applyFill="1" applyBorder="1" applyAlignment="1" applyProtection="1">
      <alignment horizontal="center" vertical="top"/>
    </xf>
    <xf numFmtId="0" fontId="23" fillId="0" borderId="0" xfId="0" applyNumberFormat="1" applyFont="1" applyFill="1" applyBorder="1" applyAlignment="1" applyProtection="1"/>
    <xf numFmtId="44" fontId="7" fillId="14" borderId="32" xfId="2" applyFont="1" applyFill="1" applyBorder="1" applyAlignment="1" applyProtection="1"/>
    <xf numFmtId="170" fontId="0" fillId="0" borderId="0" xfId="0" applyNumberFormat="1" applyFont="1" applyFill="1" applyBorder="1" applyAlignment="1" applyProtection="1"/>
    <xf numFmtId="0" fontId="24" fillId="0" borderId="0" xfId="0" applyNumberFormat="1" applyFont="1" applyFill="1" applyBorder="1" applyAlignment="1" applyProtection="1">
      <protection hidden="1"/>
    </xf>
    <xf numFmtId="2" fontId="1" fillId="0" borderId="0" xfId="0" applyNumberFormat="1" applyFont="1" applyFill="1" applyBorder="1" applyAlignment="1" applyProtection="1">
      <alignment wrapText="1"/>
    </xf>
    <xf numFmtId="0" fontId="0" fillId="0" borderId="21" xfId="0" applyNumberFormat="1" applyFont="1" applyFill="1" applyBorder="1" applyAlignment="1" applyProtection="1"/>
    <xf numFmtId="0" fontId="0" fillId="0" borderId="24" xfId="0" applyNumberFormat="1" applyFont="1" applyFill="1" applyBorder="1" applyAlignment="1" applyProtection="1">
      <alignment horizontal="center" vertical="center"/>
    </xf>
    <xf numFmtId="0" fontId="3" fillId="0" borderId="25" xfId="0" applyNumberFormat="1" applyFont="1" applyFill="1" applyBorder="1" applyAlignment="1" applyProtection="1"/>
    <xf numFmtId="0" fontId="12" fillId="0" borderId="25" xfId="0" applyNumberFormat="1" applyFont="1" applyFill="1" applyBorder="1" applyAlignment="1" applyProtection="1"/>
    <xf numFmtId="0" fontId="1" fillId="0" borderId="25" xfId="0" applyNumberFormat="1" applyFont="1" applyFill="1" applyBorder="1" applyAlignment="1" applyProtection="1"/>
    <xf numFmtId="0" fontId="0" fillId="0" borderId="25" xfId="0" applyNumberFormat="1" applyFont="1" applyFill="1" applyBorder="1" applyAlignment="1" applyProtection="1">
      <alignment horizontal="center" vertical="center"/>
    </xf>
    <xf numFmtId="0" fontId="0" fillId="0" borderId="29" xfId="0" applyNumberFormat="1" applyFont="1" applyFill="1" applyBorder="1" applyAlignment="1" applyProtection="1">
      <alignment horizontal="center"/>
    </xf>
    <xf numFmtId="169" fontId="3" fillId="0" borderId="0" xfId="0" applyNumberFormat="1" applyFont="1" applyFill="1" applyBorder="1" applyAlignment="1" applyProtection="1"/>
    <xf numFmtId="169" fontId="1" fillId="0" borderId="0" xfId="0" applyNumberFormat="1" applyFont="1" applyFill="1" applyBorder="1" applyAlignment="1" applyProtection="1">
      <alignment wrapText="1"/>
    </xf>
    <xf numFmtId="177" fontId="1" fillId="0" borderId="0" xfId="0" applyNumberFormat="1" applyFont="1" applyFill="1" applyBorder="1" applyAlignment="1" applyProtection="1">
      <alignment wrapText="1"/>
    </xf>
    <xf numFmtId="10" fontId="1" fillId="0" borderId="0" xfId="0" applyNumberFormat="1" applyFont="1" applyFill="1" applyBorder="1" applyAlignment="1" applyProtection="1">
      <alignment wrapText="1"/>
    </xf>
    <xf numFmtId="7" fontId="0" fillId="0" borderId="0" xfId="0" applyNumberFormat="1" applyFont="1" applyFill="1" applyBorder="1" applyAlignment="1" applyProtection="1"/>
    <xf numFmtId="0" fontId="0" fillId="0" borderId="22" xfId="0" applyNumberFormat="1" applyFont="1" applyFill="1" applyBorder="1" applyAlignment="1" applyProtection="1">
      <alignment horizontal="center"/>
    </xf>
    <xf numFmtId="0" fontId="26" fillId="0" borderId="11" xfId="0" applyNumberFormat="1" applyFont="1" applyFill="1" applyBorder="1" applyAlignment="1" applyProtection="1">
      <alignment horizontal="center" vertical="center"/>
    </xf>
    <xf numFmtId="0" fontId="26" fillId="0" borderId="12" xfId="0" applyNumberFormat="1" applyFont="1" applyFill="1" applyBorder="1" applyAlignment="1" applyProtection="1">
      <alignment horizontal="center" vertical="center"/>
    </xf>
    <xf numFmtId="0" fontId="27" fillId="0" borderId="38" xfId="0" applyNumberFormat="1" applyFont="1" applyFill="1" applyBorder="1" applyAlignment="1" applyProtection="1"/>
    <xf numFmtId="43" fontId="27" fillId="0" borderId="38" xfId="1" applyNumberFormat="1" applyFont="1" applyFill="1" applyBorder="1" applyAlignment="1" applyProtection="1">
      <alignment horizontal="center"/>
    </xf>
    <xf numFmtId="2" fontId="27" fillId="0" borderId="38" xfId="0" applyNumberFormat="1" applyFont="1" applyFill="1" applyBorder="1" applyAlignment="1" applyProtection="1"/>
    <xf numFmtId="176" fontId="27" fillId="0" borderId="38" xfId="0" applyNumberFormat="1" applyFont="1" applyFill="1" applyBorder="1" applyAlignment="1" applyProtection="1"/>
    <xf numFmtId="174" fontId="28" fillId="0" borderId="38" xfId="0" applyNumberFormat="1" applyFont="1" applyFill="1" applyBorder="1" applyAlignment="1" applyProtection="1"/>
    <xf numFmtId="172" fontId="27" fillId="0" borderId="38" xfId="1" applyNumberFormat="1" applyFont="1" applyFill="1" applyBorder="1" applyAlignment="1" applyProtection="1"/>
    <xf numFmtId="173" fontId="27" fillId="0" borderId="39" xfId="0" applyNumberFormat="1" applyFont="1" applyFill="1" applyBorder="1" applyAlignment="1" applyProtection="1"/>
    <xf numFmtId="0" fontId="27" fillId="0" borderId="9" xfId="0" applyNumberFormat="1" applyFont="1" applyFill="1" applyBorder="1" applyAlignment="1" applyProtection="1"/>
    <xf numFmtId="0" fontId="27" fillId="0" borderId="5" xfId="0" applyNumberFormat="1" applyFont="1" applyFill="1" applyBorder="1" applyAlignment="1" applyProtection="1"/>
    <xf numFmtId="43" fontId="27" fillId="0" borderId="5" xfId="1" applyNumberFormat="1" applyFont="1" applyFill="1" applyBorder="1" applyAlignment="1" applyProtection="1">
      <alignment horizontal="center"/>
    </xf>
    <xf numFmtId="2" fontId="27" fillId="0" borderId="5" xfId="0" applyNumberFormat="1" applyFont="1" applyFill="1" applyBorder="1" applyAlignment="1" applyProtection="1"/>
    <xf numFmtId="176" fontId="27" fillId="0" borderId="5" xfId="0" applyNumberFormat="1" applyFont="1" applyFill="1" applyBorder="1" applyAlignment="1" applyProtection="1"/>
    <xf numFmtId="174" fontId="28" fillId="0" borderId="5" xfId="0" applyNumberFormat="1" applyFont="1" applyFill="1" applyBorder="1" applyAlignment="1" applyProtection="1"/>
    <xf numFmtId="172" fontId="27" fillId="0" borderId="5" xfId="1" applyNumberFormat="1" applyFont="1" applyFill="1" applyBorder="1" applyAlignment="1" applyProtection="1"/>
    <xf numFmtId="173" fontId="27" fillId="0" borderId="10" xfId="0" applyNumberFormat="1" applyFont="1" applyFill="1" applyBorder="1" applyAlignment="1" applyProtection="1"/>
    <xf numFmtId="43" fontId="27" fillId="0" borderId="5" xfId="1" applyNumberFormat="1" applyFont="1" applyFill="1" applyBorder="1" applyAlignment="1" applyProtection="1"/>
    <xf numFmtId="172" fontId="27" fillId="0" borderId="5" xfId="0" applyNumberFormat="1" applyFont="1" applyFill="1" applyBorder="1" applyAlignment="1" applyProtection="1"/>
    <xf numFmtId="0" fontId="27" fillId="0" borderId="11" xfId="0" applyNumberFormat="1" applyFont="1" applyFill="1" applyBorder="1" applyAlignment="1" applyProtection="1"/>
    <xf numFmtId="0" fontId="27" fillId="0" borderId="12" xfId="0" applyNumberFormat="1" applyFont="1" applyFill="1" applyBorder="1" applyAlignment="1" applyProtection="1"/>
    <xf numFmtId="43" fontId="27" fillId="0" borderId="12" xfId="1" applyNumberFormat="1" applyFont="1" applyFill="1" applyBorder="1" applyAlignment="1" applyProtection="1">
      <alignment horizontal="center"/>
    </xf>
    <xf numFmtId="2" fontId="27" fillId="0" borderId="12" xfId="0" applyNumberFormat="1" applyFont="1" applyFill="1" applyBorder="1" applyAlignment="1" applyProtection="1"/>
    <xf numFmtId="172" fontId="27" fillId="0" borderId="12" xfId="0" applyNumberFormat="1" applyFont="1" applyFill="1" applyBorder="1" applyAlignment="1" applyProtection="1"/>
    <xf numFmtId="173" fontId="27" fillId="0" borderId="13" xfId="0" applyNumberFormat="1" applyFont="1" applyFill="1" applyBorder="1" applyAlignment="1" applyProtection="1"/>
    <xf numFmtId="0" fontId="26" fillId="0" borderId="12" xfId="0" applyNumberFormat="1" applyFont="1" applyFill="1" applyBorder="1" applyAlignment="1" applyProtection="1">
      <alignment vertical="center"/>
    </xf>
    <xf numFmtId="0" fontId="26" fillId="0" borderId="13" xfId="0" applyNumberFormat="1" applyFont="1" applyFill="1" applyBorder="1" applyAlignment="1" applyProtection="1">
      <alignment vertical="center"/>
    </xf>
    <xf numFmtId="176" fontId="27" fillId="0" borderId="40" xfId="0" applyNumberFormat="1" applyFont="1" applyFill="1" applyBorder="1" applyAlignment="1" applyProtection="1"/>
    <xf numFmtId="174" fontId="28" fillId="0" borderId="40" xfId="0" applyNumberFormat="1" applyFont="1" applyFill="1" applyBorder="1" applyAlignment="1" applyProtection="1"/>
    <xf numFmtId="0" fontId="27" fillId="0" borderId="37" xfId="0" applyNumberFormat="1" applyFont="1" applyFill="1" applyBorder="1" applyAlignment="1" applyProtection="1"/>
    <xf numFmtId="0" fontId="1" fillId="0" borderId="0" xfId="0" quotePrefix="1" applyNumberFormat="1" applyFont="1" applyFill="1" applyBorder="1" applyAlignment="1" applyProtection="1"/>
    <xf numFmtId="166" fontId="3" fillId="16" borderId="32" xfId="2" applyNumberFormat="1" applyFont="1" applyFill="1" applyBorder="1" applyAlignment="1" applyProtection="1"/>
    <xf numFmtId="44" fontId="3" fillId="16" borderId="32" xfId="2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center" vertical="center" wrapText="1"/>
    </xf>
    <xf numFmtId="166" fontId="0" fillId="0" borderId="0" xfId="0" applyNumberFormat="1" applyFont="1" applyFill="1" applyBorder="1" applyAlignment="1" applyProtection="1"/>
    <xf numFmtId="0" fontId="4" fillId="0" borderId="0" xfId="0" applyNumberFormat="1" applyFont="1" applyFill="1" applyBorder="1" applyAlignment="1" applyProtection="1"/>
    <xf numFmtId="0" fontId="30" fillId="14" borderId="0" xfId="0" applyNumberFormat="1" applyFont="1" applyFill="1" applyBorder="1" applyAlignment="1" applyProtection="1">
      <alignment horizontal="center"/>
    </xf>
    <xf numFmtId="0" fontId="14" fillId="17" borderId="21" xfId="0" applyNumberFormat="1" applyFont="1" applyFill="1" applyBorder="1" applyAlignment="1" applyProtection="1">
      <alignment horizontal="center" vertical="center"/>
    </xf>
    <xf numFmtId="0" fontId="14" fillId="17" borderId="23" xfId="0" applyNumberFormat="1" applyFont="1" applyFill="1" applyBorder="1" applyAlignment="1" applyProtection="1">
      <alignment horizontal="center" vertical="center"/>
    </xf>
    <xf numFmtId="0" fontId="14" fillId="17" borderId="28" xfId="0" applyNumberFormat="1" applyFont="1" applyFill="1" applyBorder="1" applyAlignment="1" applyProtection="1">
      <alignment horizontal="center" vertical="center"/>
    </xf>
    <xf numFmtId="0" fontId="14" fillId="17" borderId="30" xfId="0" applyNumberFormat="1" applyFont="1" applyFill="1" applyBorder="1" applyAlignment="1" applyProtection="1">
      <alignment horizontal="center" vertical="center"/>
    </xf>
    <xf numFmtId="0" fontId="0" fillId="0" borderId="10" xfId="0" applyNumberFormat="1" applyFont="1" applyFill="1" applyBorder="1" applyAlignment="1" applyProtection="1">
      <alignment horizontal="center" vertical="top" wrapText="1"/>
    </xf>
    <xf numFmtId="0" fontId="0" fillId="0" borderId="13" xfId="0" applyNumberFormat="1" applyFont="1" applyFill="1" applyBorder="1" applyAlignment="1" applyProtection="1">
      <alignment horizontal="center" vertical="top" wrapText="1"/>
    </xf>
    <xf numFmtId="0" fontId="15" fillId="17" borderId="33" xfId="0" applyNumberFormat="1" applyFont="1" applyFill="1" applyBorder="1" applyAlignment="1" applyProtection="1">
      <alignment horizontal="center"/>
    </xf>
    <xf numFmtId="0" fontId="15" fillId="17" borderId="34" xfId="0" applyNumberFormat="1" applyFont="1" applyFill="1" applyBorder="1" applyAlignment="1" applyProtection="1">
      <alignment horizontal="center"/>
    </xf>
    <xf numFmtId="0" fontId="25" fillId="0" borderId="0" xfId="0" applyNumberFormat="1" applyFont="1" applyFill="1" applyBorder="1" applyAlignment="1" applyProtection="1">
      <alignment horizontal="center" vertical="center"/>
    </xf>
    <xf numFmtId="0" fontId="15" fillId="17" borderId="24" xfId="0" applyNumberFormat="1" applyFont="1" applyFill="1" applyBorder="1" applyAlignment="1" applyProtection="1">
      <alignment horizontal="left"/>
    </xf>
    <xf numFmtId="0" fontId="15" fillId="17" borderId="0" xfId="0" applyNumberFormat="1" applyFont="1" applyFill="1" applyBorder="1" applyAlignment="1" applyProtection="1">
      <alignment horizontal="left"/>
    </xf>
    <xf numFmtId="0" fontId="7" fillId="3" borderId="6" xfId="0" applyFont="1" applyFill="1" applyBorder="1" applyAlignment="1">
      <alignment horizontal="center" vertical="center" wrapText="1"/>
    </xf>
    <xf numFmtId="0" fontId="7" fillId="3" borderId="7" xfId="0" applyFont="1" applyFill="1" applyBorder="1" applyAlignment="1">
      <alignment horizontal="center" vertical="center" wrapText="1"/>
    </xf>
    <xf numFmtId="0" fontId="8" fillId="4" borderId="19" xfId="0" applyNumberFormat="1" applyFont="1" applyFill="1" applyBorder="1" applyAlignment="1" applyProtection="1">
      <alignment horizontal="center"/>
    </xf>
    <xf numFmtId="0" fontId="8" fillId="4" borderId="0" xfId="0" applyNumberFormat="1" applyFont="1" applyFill="1" applyBorder="1" applyAlignment="1" applyProtection="1">
      <alignment horizontal="center"/>
    </xf>
    <xf numFmtId="0" fontId="1" fillId="0" borderId="10" xfId="0" applyNumberFormat="1" applyFont="1" applyFill="1" applyBorder="1" applyAlignment="1" applyProtection="1">
      <alignment horizontal="center" vertical="center" wrapText="1"/>
    </xf>
    <xf numFmtId="0" fontId="1" fillId="0" borderId="13" xfId="0" applyNumberFormat="1" applyFont="1" applyFill="1" applyBorder="1" applyAlignment="1" applyProtection="1">
      <alignment horizontal="center" vertical="center" wrapText="1"/>
    </xf>
    <xf numFmtId="0" fontId="29" fillId="18" borderId="6" xfId="0" applyNumberFormat="1" applyFont="1" applyFill="1" applyBorder="1" applyAlignment="1" applyProtection="1">
      <alignment horizontal="center" vertical="center"/>
    </xf>
    <xf numFmtId="0" fontId="29" fillId="18" borderId="7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 wrapText="1"/>
    </xf>
    <xf numFmtId="0" fontId="29" fillId="19" borderId="7" xfId="0" applyNumberFormat="1" applyFont="1" applyFill="1" applyBorder="1" applyAlignment="1" applyProtection="1">
      <alignment horizontal="center" vertical="center"/>
    </xf>
    <xf numFmtId="0" fontId="29" fillId="19" borderId="8" xfId="0" applyNumberFormat="1" applyFont="1" applyFill="1" applyBorder="1" applyAlignment="1" applyProtection="1">
      <alignment horizontal="center" vertical="center"/>
    </xf>
  </cellXfs>
  <cellStyles count="98">
    <cellStyle name="Comma" xfId="1" builtinId="3"/>
    <cellStyle name="Currency" xfId="2" builtinId="4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Normal" xfId="0" builtinId="0"/>
    <cellStyle name="Percent" xfId="3" builtinId="5"/>
  </cellStyles>
  <dxfs count="1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FFFF"/>
      <color rgb="FFFF858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Cummulative Cash Flow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Discounted Cumulative Cash Flow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Ownership Cash Flow'!$B$4:$AA$4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'100% Ownership Cash Flow'!$B$29:$AA$29</c:f>
              <c:numCache>
                <c:formatCode>_("$"* #,##0.00_);_("$"* \(#,##0.00\);_("$"* "-"??_);_(@_)</c:formatCode>
                <c:ptCount val="26"/>
                <c:pt idx="0">
                  <c:v>-24000</c:v>
                </c:pt>
                <c:pt idx="1">
                  <c:v>-16645.358575985632</c:v>
                </c:pt>
                <c:pt idx="2">
                  <c:v>-9542.1043923668876</c:v>
                </c:pt>
                <c:pt idx="3">
                  <c:v>-2681.6522834832231</c:v>
                </c:pt>
                <c:pt idx="4">
                  <c:v>3944.2899384405664</c:v>
                </c:pt>
                <c:pt idx="5">
                  <c:v>10343.731475230888</c:v>
                </c:pt>
                <c:pt idx="6">
                  <c:v>16524.40819411054</c:v>
                </c:pt>
                <c:pt idx="7">
                  <c:v>22493.791950056886</c:v>
                </c:pt>
                <c:pt idx="8">
                  <c:v>28259.099590382175</c:v>
                </c:pt>
                <c:pt idx="9">
                  <c:v>33827.301652363327</c:v>
                </c:pt>
                <c:pt idx="10">
                  <c:v>39205.130764379835</c:v>
                </c:pt>
                <c:pt idx="11">
                  <c:v>44399.089760662115</c:v>
                </c:pt>
                <c:pt idx="12">
                  <c:v>49415.459519408665</c:v>
                </c:pt>
                <c:pt idx="13">
                  <c:v>54260.306533697934</c:v>
                </c:pt>
                <c:pt idx="14">
                  <c:v>58939.490224299763</c:v>
                </c:pt>
                <c:pt idx="15">
                  <c:v>63458.670003181229</c:v>
                </c:pt>
                <c:pt idx="16">
                  <c:v>67823.312096202033</c:v>
                </c:pt>
                <c:pt idx="17">
                  <c:v>72038.69613320526</c:v>
                </c:pt>
                <c:pt idx="18">
                  <c:v>76109.921513429959</c:v>
                </c:pt>
                <c:pt idx="19">
                  <c:v>80041.913553901759</c:v>
                </c:pt>
                <c:pt idx="20">
                  <c:v>83839.429428197051</c:v>
                </c:pt>
                <c:pt idx="21">
                  <c:v>87507.063902724578</c:v>
                </c:pt>
                <c:pt idx="22">
                  <c:v>91049.254877424435</c:v>
                </c:pt>
                <c:pt idx="23">
                  <c:v>94470.288737549898</c:v>
                </c:pt>
                <c:pt idx="24">
                  <c:v>97774.305522970259</c:v>
                </c:pt>
                <c:pt idx="25">
                  <c:v>100965.30392121343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15-204D-8998-7950967BC386}"/>
            </c:ext>
          </c:extLst>
        </c:ser>
        <c:ser>
          <c:idx val="1"/>
          <c:order val="1"/>
          <c:tx>
            <c:v>Nominal Cummulative Cash Flow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'100% Ownership Cash Flow'!$B$4:$AA$4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'100% Ownership Cash Flow'!$B$27:$AA$27</c:f>
              <c:numCache>
                <c:formatCode>_("$"* #,##0.00_);_("$"* \(#,##0.00\);_("$"* "-"??_);_(@_)</c:formatCode>
                <c:ptCount val="26"/>
                <c:pt idx="0">
                  <c:v>-24000</c:v>
                </c:pt>
                <c:pt idx="1">
                  <c:v>-16424.719333265202</c:v>
                </c:pt>
                <c:pt idx="2">
                  <c:v>-8888.8769698640754</c:v>
                </c:pt>
                <c:pt idx="3">
                  <c:v>-1392.2757182799551</c:v>
                </c:pt>
                <c:pt idx="4">
                  <c:v>6065.2806270462443</c:v>
                </c:pt>
                <c:pt idx="5">
                  <c:v>13483.987290645811</c:v>
                </c:pt>
                <c:pt idx="6">
                  <c:v>20864.038520927381</c:v>
                </c:pt>
                <c:pt idx="7">
                  <c:v>28205.627595057544</c:v>
                </c:pt>
                <c:pt idx="8">
                  <c:v>35508.946823817052</c:v>
                </c:pt>
                <c:pt idx="9">
                  <c:v>42774.187556432764</c:v>
                </c:pt>
                <c:pt idx="10">
                  <c:v>50001.540185385398</c:v>
                </c:pt>
                <c:pt idx="11">
                  <c:v>57191.194151193267</c:v>
                </c:pt>
                <c:pt idx="12">
                  <c:v>64343.337947172098</c:v>
                </c:pt>
                <c:pt idx="13">
                  <c:v>71458.159124171041</c:v>
                </c:pt>
                <c:pt idx="14">
                  <c:v>78535.844295284987</c:v>
                </c:pt>
                <c:pt idx="15">
                  <c:v>85576.579140543356</c:v>
                </c:pt>
                <c:pt idx="16">
                  <c:v>92580.548411575437</c:v>
                </c:pt>
                <c:pt idx="17">
                  <c:v>99547.935936252354</c:v>
                </c:pt>
                <c:pt idx="18">
                  <c:v>106478.92462330589</c:v>
                </c:pt>
                <c:pt idx="19">
                  <c:v>113373.69646692416</c:v>
                </c:pt>
                <c:pt idx="20">
                  <c:v>120232.43255132434</c:v>
                </c:pt>
                <c:pt idx="21">
                  <c:v>127055.31305530251</c:v>
                </c:pt>
                <c:pt idx="22">
                  <c:v>133842.5172567608</c:v>
                </c:pt>
                <c:pt idx="23">
                  <c:v>140594.2235372118</c:v>
                </c:pt>
                <c:pt idx="24">
                  <c:v>147310.60938626053</c:v>
                </c:pt>
                <c:pt idx="25">
                  <c:v>153991.85140606403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15-204D-8998-7950967BC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634088"/>
        <c:axId val="2137928632"/>
      </c:scatterChart>
      <c:valAx>
        <c:axId val="2138634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928632"/>
        <c:crosses val="autoZero"/>
        <c:crossBetween val="midCat"/>
      </c:valAx>
      <c:valAx>
        <c:axId val="2137928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8634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Cummulative Cash Flow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Discounted Cumulative Cash Flow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'PPA Cashflow'!$B$4:$AA$4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'PPA Cashflow'!$B$29:$AA$29</c:f>
              <c:numCache>
                <c:formatCode>_("$"* #,##0.00_);_("$"* \(#,##0.00\);_("$"* "-"??_);_(@_)</c:formatCode>
                <c:ptCount val="26"/>
                <c:pt idx="0">
                  <c:v>-27936</c:v>
                </c:pt>
                <c:pt idx="1">
                  <c:v>-23289.259712907766</c:v>
                </c:pt>
                <c:pt idx="2">
                  <c:v>-16293.247078721866</c:v>
                </c:pt>
                <c:pt idx="3">
                  <c:v>-12127.176019057679</c:v>
                </c:pt>
                <c:pt idx="4">
                  <c:v>-9622.2586388157106</c:v>
                </c:pt>
                <c:pt idx="5">
                  <c:v>-7214.5682518459616</c:v>
                </c:pt>
                <c:pt idx="6">
                  <c:v>-5971.4935431983076</c:v>
                </c:pt>
                <c:pt idx="7">
                  <c:v>-5827.2555365305925</c:v>
                </c:pt>
                <c:pt idx="8">
                  <c:v>-5709.4863001494241</c:v>
                </c:pt>
                <c:pt idx="9">
                  <c:v>-5616.7877052313916</c:v>
                </c:pt>
                <c:pt idx="10">
                  <c:v>-5547.8211434952746</c:v>
                </c:pt>
                <c:pt idx="11">
                  <c:v>-3384.681209478917</c:v>
                </c:pt>
                <c:pt idx="12">
                  <c:v>-1296.1947897470031</c:v>
                </c:pt>
                <c:pt idx="13">
                  <c:v>720.2083446104732</c:v>
                </c:pt>
                <c:pt idx="14">
                  <c:v>2667.0101100937482</c:v>
                </c:pt>
                <c:pt idx="15">
                  <c:v>4546.607140084905</c:v>
                </c:pt>
                <c:pt idx="16">
                  <c:v>6361.3137103756681</c:v>
                </c:pt>
                <c:pt idx="17">
                  <c:v>8113.3645644814023</c:v>
                </c:pt>
                <c:pt idx="18">
                  <c:v>9804.9176421700231</c:v>
                </c:pt>
                <c:pt idx="19">
                  <c:v>11438.05671451733</c:v>
                </c:pt>
                <c:pt idx="20">
                  <c:v>13014.793928687077</c:v>
                </c:pt>
                <c:pt idx="21">
                  <c:v>14537.072265524796</c:v>
                </c:pt>
                <c:pt idx="22">
                  <c:v>16006.767912948762</c:v>
                </c:pt>
                <c:pt idx="23">
                  <c:v>17425.69255801956</c:v>
                </c:pt>
                <c:pt idx="24">
                  <c:v>18795.595600471141</c:v>
                </c:pt>
                <c:pt idx="25">
                  <c:v>20118.166290391197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F6-7D41-A1F8-09BF38AED90D}"/>
            </c:ext>
          </c:extLst>
        </c:ser>
        <c:ser>
          <c:idx val="1"/>
          <c:order val="1"/>
          <c:tx>
            <c:v>Nominal Cummulative Cash Flow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'PPA Cashflow'!$B$4:$AA$4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'PPA Cashflow'!$B$27:$AA$27</c:f>
              <c:numCache>
                <c:formatCode>_("$"* #,##0.00_);_("$"* \(#,##0.00\);_("$"* "-"??_);_(@_)</c:formatCode>
                <c:ptCount val="26"/>
                <c:pt idx="0">
                  <c:v>-27936</c:v>
                </c:pt>
                <c:pt idx="1">
                  <c:v>-23149.857504295</c:v>
                </c:pt>
                <c:pt idx="2">
                  <c:v>-15727.787700687179</c:v>
                </c:pt>
                <c:pt idx="3">
                  <c:v>-11175.409369873509</c:v>
                </c:pt>
                <c:pt idx="4">
                  <c:v>-8356.1027900890531</c:v>
                </c:pt>
                <c:pt idx="5">
                  <c:v>-5564.9297455336882</c:v>
                </c:pt>
                <c:pt idx="6">
                  <c:v>-4080.6335349158398</c:v>
                </c:pt>
                <c:pt idx="7">
                  <c:v>-3903.2389801142394</c:v>
                </c:pt>
                <c:pt idx="8">
                  <c:v>-3754.052434958709</c:v>
                </c:pt>
                <c:pt idx="9">
                  <c:v>-3633.1017941310097</c:v>
                </c:pt>
                <c:pt idx="10">
                  <c:v>-3540.4165021867943</c:v>
                </c:pt>
                <c:pt idx="11">
                  <c:v>-546.12493840471006</c:v>
                </c:pt>
                <c:pt idx="12">
                  <c:v>2431.5573115584639</c:v>
                </c:pt>
                <c:pt idx="13">
                  <c:v>5392.7132942718217</c:v>
                </c:pt>
                <c:pt idx="14">
                  <c:v>8337.4256410716134</c:v>
                </c:pt>
                <c:pt idx="15">
                  <c:v>11265.776570137405</c:v>
                </c:pt>
                <c:pt idx="16">
                  <c:v>14177.847888557868</c:v>
                </c:pt>
                <c:pt idx="17">
                  <c:v>17073.720994386229</c:v>
                </c:pt>
                <c:pt idx="18">
                  <c:v>19953.476878685447</c:v>
                </c:pt>
                <c:pt idx="19">
                  <c:v>22817.196127563169</c:v>
                </c:pt>
                <c:pt idx="20">
                  <c:v>25664.958924196504</c:v>
                </c:pt>
                <c:pt idx="21">
                  <c:v>28496.84505084667</c:v>
                </c:pt>
                <c:pt idx="22">
                  <c:v>31312.933890863587</c:v>
                </c:pt>
                <c:pt idx="23">
                  <c:v>34113.304430680422</c:v>
                </c:pt>
                <c:pt idx="24">
                  <c:v>36898.03526179817</c:v>
                </c:pt>
                <c:pt idx="25">
                  <c:v>39667.204582760329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4F6-7D41-A1F8-09BF38AED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113448"/>
        <c:axId val="2137106696"/>
      </c:scatterChart>
      <c:valAx>
        <c:axId val="2137113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106696"/>
        <c:crosses val="autoZero"/>
        <c:crossBetween val="midCat"/>
      </c:valAx>
      <c:valAx>
        <c:axId val="2137106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113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Cumulative</a:t>
            </a:r>
            <a:r>
              <a:rPr lang="en-US" b="1" baseline="0"/>
              <a:t> Cash Flow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Cumulative Cash Flow</c:v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Ownership Cash Flow'!$B$4:$AA$4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'100% Ownership Cash Flow'!$B$27:$AA$27</c:f>
              <c:numCache>
                <c:formatCode>_("$"* #,##0.00_);_("$"* \(#,##0.00\);_("$"* "-"??_);_(@_)</c:formatCode>
                <c:ptCount val="26"/>
                <c:pt idx="0">
                  <c:v>-24000</c:v>
                </c:pt>
                <c:pt idx="1">
                  <c:v>-16424.719333265202</c:v>
                </c:pt>
                <c:pt idx="2">
                  <c:v>-8888.8769698640754</c:v>
                </c:pt>
                <c:pt idx="3">
                  <c:v>-1392.2757182799551</c:v>
                </c:pt>
                <c:pt idx="4">
                  <c:v>6065.2806270462443</c:v>
                </c:pt>
                <c:pt idx="5">
                  <c:v>13483.987290645811</c:v>
                </c:pt>
                <c:pt idx="6">
                  <c:v>20864.038520927381</c:v>
                </c:pt>
                <c:pt idx="7">
                  <c:v>28205.627595057544</c:v>
                </c:pt>
                <c:pt idx="8">
                  <c:v>35508.946823817052</c:v>
                </c:pt>
                <c:pt idx="9">
                  <c:v>42774.187556432764</c:v>
                </c:pt>
                <c:pt idx="10">
                  <c:v>50001.540185385398</c:v>
                </c:pt>
                <c:pt idx="11">
                  <c:v>57191.194151193267</c:v>
                </c:pt>
                <c:pt idx="12">
                  <c:v>64343.337947172098</c:v>
                </c:pt>
                <c:pt idx="13">
                  <c:v>71458.159124171041</c:v>
                </c:pt>
                <c:pt idx="14">
                  <c:v>78535.844295284987</c:v>
                </c:pt>
                <c:pt idx="15">
                  <c:v>85576.579140543356</c:v>
                </c:pt>
                <c:pt idx="16">
                  <c:v>92580.548411575437</c:v>
                </c:pt>
                <c:pt idx="17">
                  <c:v>99547.935936252354</c:v>
                </c:pt>
                <c:pt idx="18">
                  <c:v>106478.92462330589</c:v>
                </c:pt>
                <c:pt idx="19">
                  <c:v>113373.69646692416</c:v>
                </c:pt>
                <c:pt idx="20">
                  <c:v>120232.43255132434</c:v>
                </c:pt>
                <c:pt idx="21">
                  <c:v>127055.31305530251</c:v>
                </c:pt>
                <c:pt idx="22">
                  <c:v>133842.5172567608</c:v>
                </c:pt>
                <c:pt idx="23">
                  <c:v>140594.2235372118</c:v>
                </c:pt>
                <c:pt idx="24">
                  <c:v>147310.60938626053</c:v>
                </c:pt>
                <c:pt idx="25">
                  <c:v>153991.85140606403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7E-4DD6-B397-DE275E2C1666}"/>
            </c:ext>
          </c:extLst>
        </c:ser>
        <c:ser>
          <c:idx val="1"/>
          <c:order val="1"/>
          <c:tx>
            <c:v>Discounted Cash Flow</c:v>
          </c:tx>
          <c:spPr>
            <a:ln w="317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'100% Ownership Cash Flow'!$B$4:$AA$4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'100% Ownership Cash Flow'!$B$29:$AA$29</c:f>
              <c:numCache>
                <c:formatCode>_("$"* #,##0.00_);_("$"* \(#,##0.00\);_("$"* "-"??_);_(@_)</c:formatCode>
                <c:ptCount val="26"/>
                <c:pt idx="0">
                  <c:v>-24000</c:v>
                </c:pt>
                <c:pt idx="1">
                  <c:v>-16645.358575985632</c:v>
                </c:pt>
                <c:pt idx="2">
                  <c:v>-9542.1043923668876</c:v>
                </c:pt>
                <c:pt idx="3">
                  <c:v>-2681.6522834832231</c:v>
                </c:pt>
                <c:pt idx="4">
                  <c:v>3944.2899384405664</c:v>
                </c:pt>
                <c:pt idx="5">
                  <c:v>10343.731475230888</c:v>
                </c:pt>
                <c:pt idx="6">
                  <c:v>16524.40819411054</c:v>
                </c:pt>
                <c:pt idx="7">
                  <c:v>22493.791950056886</c:v>
                </c:pt>
                <c:pt idx="8">
                  <c:v>28259.099590382175</c:v>
                </c:pt>
                <c:pt idx="9">
                  <c:v>33827.301652363327</c:v>
                </c:pt>
                <c:pt idx="10">
                  <c:v>39205.130764379835</c:v>
                </c:pt>
                <c:pt idx="11">
                  <c:v>44399.089760662115</c:v>
                </c:pt>
                <c:pt idx="12">
                  <c:v>49415.459519408665</c:v>
                </c:pt>
                <c:pt idx="13">
                  <c:v>54260.306533697934</c:v>
                </c:pt>
                <c:pt idx="14">
                  <c:v>58939.490224299763</c:v>
                </c:pt>
                <c:pt idx="15">
                  <c:v>63458.670003181229</c:v>
                </c:pt>
                <c:pt idx="16">
                  <c:v>67823.312096202033</c:v>
                </c:pt>
                <c:pt idx="17">
                  <c:v>72038.69613320526</c:v>
                </c:pt>
                <c:pt idx="18">
                  <c:v>76109.921513429959</c:v>
                </c:pt>
                <c:pt idx="19">
                  <c:v>80041.913553901759</c:v>
                </c:pt>
                <c:pt idx="20">
                  <c:v>83839.429428197051</c:v>
                </c:pt>
                <c:pt idx="21">
                  <c:v>87507.063902724578</c:v>
                </c:pt>
                <c:pt idx="22">
                  <c:v>91049.254877424435</c:v>
                </c:pt>
                <c:pt idx="23">
                  <c:v>94470.288737549898</c:v>
                </c:pt>
                <c:pt idx="24">
                  <c:v>97774.305522970259</c:v>
                </c:pt>
                <c:pt idx="25">
                  <c:v>100965.30392121343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A7E-4DD6-B397-DE275E2C1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610488"/>
        <c:axId val="2138664424"/>
      </c:scatterChart>
      <c:valAx>
        <c:axId val="2138610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8664424"/>
        <c:crosses val="autoZero"/>
        <c:crossBetween val="midCat"/>
      </c:valAx>
      <c:valAx>
        <c:axId val="2138664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8610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Cumulative</a:t>
            </a:r>
            <a:r>
              <a:rPr lang="en-US" b="1" baseline="0"/>
              <a:t> Cash Flow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Cumulative Cash Flow</c:v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'PPA Cashflow'!$B$4:$AA$4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'PPA Cashflow'!$B$27:$AA$27</c:f>
              <c:numCache>
                <c:formatCode>_("$"* #,##0.00_);_("$"* \(#,##0.00\);_("$"* "-"??_);_(@_)</c:formatCode>
                <c:ptCount val="26"/>
                <c:pt idx="0">
                  <c:v>-27936</c:v>
                </c:pt>
                <c:pt idx="1">
                  <c:v>-23149.857504295</c:v>
                </c:pt>
                <c:pt idx="2">
                  <c:v>-15727.787700687179</c:v>
                </c:pt>
                <c:pt idx="3">
                  <c:v>-11175.409369873509</c:v>
                </c:pt>
                <c:pt idx="4">
                  <c:v>-8356.1027900890531</c:v>
                </c:pt>
                <c:pt idx="5">
                  <c:v>-5564.9297455336882</c:v>
                </c:pt>
                <c:pt idx="6">
                  <c:v>-4080.6335349158398</c:v>
                </c:pt>
                <c:pt idx="7">
                  <c:v>-3903.2389801142394</c:v>
                </c:pt>
                <c:pt idx="8">
                  <c:v>-3754.052434958709</c:v>
                </c:pt>
                <c:pt idx="9">
                  <c:v>-3633.1017941310097</c:v>
                </c:pt>
                <c:pt idx="10">
                  <c:v>-3540.4165021867943</c:v>
                </c:pt>
                <c:pt idx="11">
                  <c:v>-546.12493840471006</c:v>
                </c:pt>
                <c:pt idx="12">
                  <c:v>2431.5573115584639</c:v>
                </c:pt>
                <c:pt idx="13">
                  <c:v>5392.7132942718217</c:v>
                </c:pt>
                <c:pt idx="14">
                  <c:v>8337.4256410716134</c:v>
                </c:pt>
                <c:pt idx="15">
                  <c:v>11265.776570137405</c:v>
                </c:pt>
                <c:pt idx="16">
                  <c:v>14177.847888557868</c:v>
                </c:pt>
                <c:pt idx="17">
                  <c:v>17073.720994386229</c:v>
                </c:pt>
                <c:pt idx="18">
                  <c:v>19953.476878685447</c:v>
                </c:pt>
                <c:pt idx="19">
                  <c:v>22817.196127563169</c:v>
                </c:pt>
                <c:pt idx="20">
                  <c:v>25664.958924196504</c:v>
                </c:pt>
                <c:pt idx="21">
                  <c:v>28496.84505084667</c:v>
                </c:pt>
                <c:pt idx="22">
                  <c:v>31312.933890863587</c:v>
                </c:pt>
                <c:pt idx="23">
                  <c:v>34113.304430680422</c:v>
                </c:pt>
                <c:pt idx="24">
                  <c:v>36898.03526179817</c:v>
                </c:pt>
                <c:pt idx="25">
                  <c:v>39667.204582760329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AE-C640-8958-6A5F6304E5EB}"/>
            </c:ext>
          </c:extLst>
        </c:ser>
        <c:ser>
          <c:idx val="1"/>
          <c:order val="1"/>
          <c:tx>
            <c:v>Discounted Cash Flow</c:v>
          </c:tx>
          <c:spPr>
            <a:ln w="317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'PPA Cashflow'!$B$4:$AA$4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'PPA Cashflow'!$B$29:$AA$29</c:f>
              <c:numCache>
                <c:formatCode>_("$"* #,##0.00_);_("$"* \(#,##0.00\);_("$"* "-"??_);_(@_)</c:formatCode>
                <c:ptCount val="26"/>
                <c:pt idx="0">
                  <c:v>-27936</c:v>
                </c:pt>
                <c:pt idx="1">
                  <c:v>-23289.259712907766</c:v>
                </c:pt>
                <c:pt idx="2">
                  <c:v>-16293.247078721866</c:v>
                </c:pt>
                <c:pt idx="3">
                  <c:v>-12127.176019057679</c:v>
                </c:pt>
                <c:pt idx="4">
                  <c:v>-9622.2586388157106</c:v>
                </c:pt>
                <c:pt idx="5">
                  <c:v>-7214.5682518459616</c:v>
                </c:pt>
                <c:pt idx="6">
                  <c:v>-5971.4935431983076</c:v>
                </c:pt>
                <c:pt idx="7">
                  <c:v>-5827.2555365305925</c:v>
                </c:pt>
                <c:pt idx="8">
                  <c:v>-5709.4863001494241</c:v>
                </c:pt>
                <c:pt idx="9">
                  <c:v>-5616.7877052313916</c:v>
                </c:pt>
                <c:pt idx="10">
                  <c:v>-5547.8211434952746</c:v>
                </c:pt>
                <c:pt idx="11">
                  <c:v>-3384.681209478917</c:v>
                </c:pt>
                <c:pt idx="12">
                  <c:v>-1296.1947897470031</c:v>
                </c:pt>
                <c:pt idx="13">
                  <c:v>720.2083446104732</c:v>
                </c:pt>
                <c:pt idx="14">
                  <c:v>2667.0101100937482</c:v>
                </c:pt>
                <c:pt idx="15">
                  <c:v>4546.607140084905</c:v>
                </c:pt>
                <c:pt idx="16">
                  <c:v>6361.3137103756681</c:v>
                </c:pt>
                <c:pt idx="17">
                  <c:v>8113.3645644814023</c:v>
                </c:pt>
                <c:pt idx="18">
                  <c:v>9804.9176421700231</c:v>
                </c:pt>
                <c:pt idx="19">
                  <c:v>11438.05671451733</c:v>
                </c:pt>
                <c:pt idx="20">
                  <c:v>13014.793928687077</c:v>
                </c:pt>
                <c:pt idx="21">
                  <c:v>14537.072265524796</c:v>
                </c:pt>
                <c:pt idx="22">
                  <c:v>16006.767912948762</c:v>
                </c:pt>
                <c:pt idx="23">
                  <c:v>17425.69255801956</c:v>
                </c:pt>
                <c:pt idx="24">
                  <c:v>18795.595600471141</c:v>
                </c:pt>
                <c:pt idx="25">
                  <c:v>20118.166290391197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8AE-C640-8958-6A5F6304E5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781416"/>
        <c:axId val="2138788232"/>
      </c:scatterChart>
      <c:valAx>
        <c:axId val="2138781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8788232"/>
        <c:crosses val="autoZero"/>
        <c:crossBetween val="midCat"/>
      </c:valAx>
      <c:valAx>
        <c:axId val="2138788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8781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35560</xdr:colOff>
      <xdr:row>74</xdr:row>
      <xdr:rowOff>137160</xdr:rowOff>
    </xdr:from>
    <xdr:to>
      <xdr:col>3</xdr:col>
      <xdr:colOff>10160</xdr:colOff>
      <xdr:row>91</xdr:row>
      <xdr:rowOff>142240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35560</xdr:colOff>
      <xdr:row>82</xdr:row>
      <xdr:rowOff>137160</xdr:rowOff>
    </xdr:from>
    <xdr:to>
      <xdr:col>3</xdr:col>
      <xdr:colOff>10160</xdr:colOff>
      <xdr:row>99</xdr:row>
      <xdr:rowOff>142240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9632</xdr:colOff>
      <xdr:row>32</xdr:row>
      <xdr:rowOff>13942</xdr:rowOff>
    </xdr:from>
    <xdr:to>
      <xdr:col>15</xdr:col>
      <xdr:colOff>52192</xdr:colOff>
      <xdr:row>58</xdr:row>
      <xdr:rowOff>39144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9632</xdr:colOff>
      <xdr:row>32</xdr:row>
      <xdr:rowOff>13942</xdr:rowOff>
    </xdr:from>
    <xdr:to>
      <xdr:col>15</xdr:col>
      <xdr:colOff>52192</xdr:colOff>
      <xdr:row>58</xdr:row>
      <xdr:rowOff>39144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noFill/>
        <a:noFill/>
        <a:noFill/>
      </a:fillStyleLst>
      <a:lnStyleLst>
        <a:ln/>
        <a:ln/>
        <a:ln/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noFill/>
        <a:noFill/>
        <a:noFill/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228"/>
  <sheetViews>
    <sheetView tabSelected="1" topLeftCell="A5" zoomScale="87" workbookViewId="0">
      <selection activeCell="D19" sqref="D19"/>
    </sheetView>
  </sheetViews>
  <sheetFormatPr defaultColWidth="0" defaultRowHeight="15" zeroHeight="1" x14ac:dyDescent="0.25"/>
  <cols>
    <col min="1" max="1" width="20.140625" customWidth="1"/>
    <col min="2" max="2" width="45.7109375" style="128" customWidth="1"/>
    <col min="3" max="3" width="67.85546875" customWidth="1"/>
    <col min="4" max="4" width="24.42578125" customWidth="1"/>
    <col min="5" max="5" width="8.85546875" customWidth="1"/>
    <col min="6" max="6" width="8.85546875" hidden="1" customWidth="1"/>
    <col min="7" max="7" width="11.28515625" hidden="1" customWidth="1"/>
    <col min="8" max="8" width="12.140625" hidden="1" customWidth="1"/>
    <col min="9" max="9" width="15.28515625" hidden="1" customWidth="1"/>
    <col min="10" max="10" width="16" hidden="1" customWidth="1"/>
    <col min="11" max="11" width="9.140625" hidden="1" customWidth="1"/>
    <col min="12" max="12" width="11.42578125" hidden="1" customWidth="1"/>
    <col min="13" max="14" width="8.85546875" hidden="1" customWidth="1"/>
    <col min="15" max="15" width="11.140625" hidden="1" customWidth="1"/>
    <col min="16" max="16" width="12" hidden="1" customWidth="1"/>
    <col min="17" max="17" width="11.28515625" hidden="1" customWidth="1"/>
    <col min="18" max="18" width="11.140625" hidden="1" customWidth="1"/>
    <col min="19" max="19" width="10.7109375" hidden="1" customWidth="1"/>
    <col min="20" max="20" width="11.85546875" hidden="1" customWidth="1"/>
    <col min="21" max="21" width="15.28515625" style="270" hidden="1" customWidth="1"/>
    <col min="22" max="16384" width="8.85546875" hidden="1"/>
  </cols>
  <sheetData>
    <row r="1" spans="1:21" ht="15.75" thickBot="1" x14ac:dyDescent="0.3">
      <c r="A1" s="293"/>
      <c r="B1" s="170"/>
      <c r="C1" s="170"/>
      <c r="D1" s="170"/>
      <c r="E1" s="171"/>
      <c r="F1" s="170"/>
    </row>
    <row r="2" spans="1:21" ht="18.75" x14ac:dyDescent="0.3">
      <c r="A2" s="172"/>
      <c r="B2" s="343" t="s">
        <v>210</v>
      </c>
      <c r="C2" s="344"/>
      <c r="E2" s="173"/>
      <c r="G2" s="251"/>
      <c r="J2" s="351"/>
      <c r="K2" s="351"/>
      <c r="L2" s="351"/>
      <c r="M2" s="351"/>
      <c r="N2" s="351"/>
      <c r="O2" s="351"/>
      <c r="P2" s="351"/>
      <c r="Q2" s="351"/>
      <c r="R2" s="351"/>
      <c r="S2" s="351"/>
    </row>
    <row r="3" spans="1:21" ht="15.75" thickBot="1" x14ac:dyDescent="0.3">
      <c r="A3" s="172"/>
      <c r="B3" s="345"/>
      <c r="C3" s="346"/>
      <c r="E3" s="173"/>
      <c r="J3" s="351"/>
      <c r="K3" s="351"/>
      <c r="L3" s="351"/>
      <c r="M3" s="351"/>
      <c r="N3" s="351"/>
      <c r="O3" s="351"/>
      <c r="P3" s="351"/>
      <c r="Q3" s="351"/>
      <c r="R3" s="351"/>
      <c r="S3" s="351"/>
    </row>
    <row r="4" spans="1:21" x14ac:dyDescent="0.25">
      <c r="A4" s="172"/>
      <c r="B4"/>
      <c r="E4" s="173"/>
    </row>
    <row r="5" spans="1:21" x14ac:dyDescent="0.25">
      <c r="A5" s="172"/>
      <c r="B5" s="342" t="s">
        <v>212</v>
      </c>
      <c r="E5" s="173"/>
    </row>
    <row r="6" spans="1:21" ht="15.75" thickBot="1" x14ac:dyDescent="0.3">
      <c r="A6" s="172"/>
      <c r="B6"/>
      <c r="E6" s="173"/>
    </row>
    <row r="7" spans="1:21" ht="24" thickBot="1" x14ac:dyDescent="0.4">
      <c r="A7" s="349" t="s">
        <v>163</v>
      </c>
      <c r="B7" s="350"/>
      <c r="C7" s="233" t="s">
        <v>185</v>
      </c>
      <c r="D7" s="1"/>
      <c r="E7" s="173"/>
    </row>
    <row r="8" spans="1:21" x14ac:dyDescent="0.25">
      <c r="A8" s="172"/>
      <c r="B8" s="230"/>
      <c r="D8" s="10"/>
      <c r="E8" s="173"/>
    </row>
    <row r="9" spans="1:21" x14ac:dyDescent="0.25">
      <c r="A9" s="172"/>
      <c r="B9" s="230"/>
      <c r="D9" s="10"/>
      <c r="E9" s="173"/>
    </row>
    <row r="10" spans="1:21" x14ac:dyDescent="0.25">
      <c r="A10" s="172"/>
      <c r="B10" s="230" t="s">
        <v>161</v>
      </c>
      <c r="C10" s="285">
        <f>VLOOKUP(C7,Inputs!B4:I21,3, FALSE)</f>
        <v>1354.5</v>
      </c>
      <c r="D10" s="10"/>
      <c r="E10" s="173"/>
      <c r="P10" s="283"/>
      <c r="Q10" s="283"/>
      <c r="R10" s="284"/>
      <c r="S10" s="270"/>
    </row>
    <row r="11" spans="1:21" x14ac:dyDescent="0.25">
      <c r="A11" s="172"/>
      <c r="B11"/>
      <c r="E11" s="173"/>
      <c r="P11" s="283"/>
      <c r="Q11" s="283"/>
      <c r="R11" s="284"/>
      <c r="S11" s="270"/>
    </row>
    <row r="12" spans="1:21" x14ac:dyDescent="0.25">
      <c r="A12" s="172"/>
      <c r="B12"/>
      <c r="E12" s="173"/>
      <c r="P12" s="300"/>
      <c r="Q12" s="283"/>
      <c r="R12" s="284"/>
      <c r="S12" s="270"/>
    </row>
    <row r="13" spans="1:21" x14ac:dyDescent="0.25">
      <c r="A13" s="172"/>
      <c r="B13" s="166" t="s">
        <v>93</v>
      </c>
      <c r="C13" s="127" t="s">
        <v>92</v>
      </c>
      <c r="E13" s="173"/>
      <c r="G13" s="339"/>
      <c r="H13" s="339"/>
      <c r="I13" s="339"/>
      <c r="J13" s="339"/>
      <c r="K13" s="339"/>
      <c r="L13" s="339"/>
      <c r="M13" s="339"/>
      <c r="N13" s="339"/>
      <c r="P13" s="301"/>
      <c r="Q13" s="301"/>
      <c r="R13" s="302"/>
      <c r="S13" s="303"/>
      <c r="T13" s="292"/>
      <c r="U13" s="303"/>
    </row>
    <row r="14" spans="1:21" ht="15.75" thickBot="1" x14ac:dyDescent="0.3">
      <c r="A14" s="172"/>
      <c r="B14" s="167"/>
      <c r="E14" s="173"/>
      <c r="L14" s="340"/>
      <c r="P14" s="283"/>
      <c r="Q14" s="283"/>
      <c r="R14" s="284"/>
      <c r="S14" s="270"/>
      <c r="T14" s="280"/>
    </row>
    <row r="15" spans="1:21" ht="15.75" thickBot="1" x14ac:dyDescent="0.3">
      <c r="A15" s="172"/>
      <c r="B15" s="10">
        <v>1</v>
      </c>
      <c r="C15" s="1" t="s">
        <v>101</v>
      </c>
      <c r="D15" s="134">
        <v>40</v>
      </c>
      <c r="E15" s="295" t="s">
        <v>99</v>
      </c>
      <c r="P15" s="283"/>
      <c r="Q15" s="283"/>
      <c r="R15" s="284"/>
      <c r="S15" s="270"/>
      <c r="T15" s="281"/>
    </row>
    <row r="16" spans="1:21" x14ac:dyDescent="0.25">
      <c r="A16" s="172"/>
      <c r="B16" s="277"/>
      <c r="E16" s="173"/>
      <c r="L16" s="1"/>
      <c r="P16" s="283"/>
      <c r="Q16" s="283"/>
      <c r="R16" s="284"/>
      <c r="S16" s="270"/>
      <c r="T16" s="280"/>
    </row>
    <row r="17" spans="1:20" ht="15.75" thickBot="1" x14ac:dyDescent="0.3">
      <c r="A17" s="172"/>
      <c r="B17" s="277"/>
      <c r="C17" s="142" t="s">
        <v>211</v>
      </c>
      <c r="E17" s="173"/>
      <c r="L17" s="341"/>
      <c r="P17" s="283"/>
      <c r="Q17" s="283"/>
      <c r="R17" s="284"/>
      <c r="S17" s="270"/>
      <c r="T17" s="281"/>
    </row>
    <row r="18" spans="1:20" ht="15.75" thickBot="1" x14ac:dyDescent="0.3">
      <c r="A18" s="172"/>
      <c r="B18" s="277"/>
      <c r="C18" s="130" t="s">
        <v>94</v>
      </c>
      <c r="D18" s="286">
        <f>D15*C10</f>
        <v>54180</v>
      </c>
      <c r="E18" s="296" t="s">
        <v>98</v>
      </c>
      <c r="P18" s="283"/>
      <c r="Q18" s="283"/>
      <c r="R18" s="284"/>
      <c r="S18" s="270"/>
      <c r="T18" s="280"/>
    </row>
    <row r="19" spans="1:20" ht="15.75" thickBot="1" x14ac:dyDescent="0.3">
      <c r="A19" s="172"/>
      <c r="B19" s="277"/>
      <c r="C19" s="130" t="s">
        <v>97</v>
      </c>
      <c r="D19" s="156">
        <f>VLOOKUP(C7,Inputs!B4:I21,4, FALSE)*D15</f>
        <v>356.06666668000003</v>
      </c>
      <c r="E19" s="296" t="s">
        <v>99</v>
      </c>
      <c r="P19" s="283"/>
      <c r="Q19" s="283"/>
      <c r="R19" s="284"/>
      <c r="S19" s="270"/>
      <c r="T19" s="281"/>
    </row>
    <row r="20" spans="1:20" x14ac:dyDescent="0.25">
      <c r="A20" s="172"/>
      <c r="B20" s="277"/>
      <c r="D20" s="304"/>
      <c r="E20" s="173"/>
      <c r="P20" s="283"/>
      <c r="Q20" s="283"/>
      <c r="R20" s="284"/>
      <c r="S20" s="270"/>
      <c r="T20" s="280"/>
    </row>
    <row r="21" spans="1:20" x14ac:dyDescent="0.25">
      <c r="A21" s="172"/>
      <c r="B21" s="277"/>
      <c r="E21" s="173"/>
      <c r="P21" s="283"/>
      <c r="Q21" s="283"/>
      <c r="R21" s="284"/>
      <c r="S21" s="270"/>
      <c r="T21" s="281"/>
    </row>
    <row r="22" spans="1:20" x14ac:dyDescent="0.25">
      <c r="A22" s="172"/>
      <c r="B22" s="277"/>
      <c r="C22" s="132" t="s">
        <v>96</v>
      </c>
      <c r="E22" s="173"/>
      <c r="P22" s="283"/>
      <c r="Q22" s="283"/>
      <c r="R22" s="284"/>
      <c r="S22" s="270"/>
      <c r="T22" s="280"/>
    </row>
    <row r="23" spans="1:20" ht="15.75" thickBot="1" x14ac:dyDescent="0.3">
      <c r="A23" s="172"/>
      <c r="B23"/>
      <c r="E23" s="173"/>
      <c r="P23" s="283"/>
      <c r="Q23" s="283"/>
      <c r="R23" s="284"/>
      <c r="S23" s="270"/>
      <c r="T23" s="281"/>
    </row>
    <row r="24" spans="1:20" ht="15.75" thickBot="1" x14ac:dyDescent="0.3">
      <c r="A24" s="172"/>
      <c r="B24">
        <v>2</v>
      </c>
      <c r="C24" s="1" t="s">
        <v>102</v>
      </c>
      <c r="D24" s="135">
        <f>VLOOKUP(C7,Inputs!B4:I21,5, FALSE)</f>
        <v>0.112</v>
      </c>
      <c r="E24" s="295" t="s">
        <v>100</v>
      </c>
      <c r="P24" s="283"/>
      <c r="Q24" s="283"/>
      <c r="R24" s="284"/>
      <c r="S24" s="270"/>
      <c r="T24" s="280"/>
    </row>
    <row r="25" spans="1:20" ht="15.75" thickBot="1" x14ac:dyDescent="0.3">
      <c r="A25" s="172"/>
      <c r="B25">
        <v>3</v>
      </c>
      <c r="C25" s="1" t="s">
        <v>104</v>
      </c>
      <c r="D25" s="141">
        <f>VLOOKUP(C7,Inputs!B4:I21,6, FALSE)</f>
        <v>5.1100000000000003</v>
      </c>
      <c r="E25" s="295" t="s">
        <v>103</v>
      </c>
      <c r="P25" s="283"/>
      <c r="Q25" s="283"/>
      <c r="R25" s="284"/>
      <c r="S25" s="270"/>
    </row>
    <row r="26" spans="1:20" ht="15.75" thickBot="1" x14ac:dyDescent="0.3">
      <c r="A26" s="172"/>
      <c r="B26">
        <v>4</v>
      </c>
      <c r="C26" s="1" t="s">
        <v>105</v>
      </c>
      <c r="D26" s="141">
        <v>0</v>
      </c>
      <c r="E26" s="295"/>
      <c r="G26" s="291"/>
      <c r="H26" s="291"/>
      <c r="I26" s="291"/>
      <c r="P26" s="283"/>
      <c r="Q26" s="283"/>
      <c r="R26" s="284"/>
      <c r="S26" s="270"/>
      <c r="T26" s="280"/>
    </row>
    <row r="27" spans="1:20" x14ac:dyDescent="0.25">
      <c r="A27" s="172"/>
      <c r="B27" s="277"/>
      <c r="E27" s="173"/>
      <c r="G27" s="291"/>
      <c r="H27" s="291"/>
      <c r="I27" s="291"/>
      <c r="P27" s="283"/>
      <c r="Q27" s="283"/>
      <c r="R27" s="284"/>
      <c r="S27" s="270"/>
      <c r="T27" s="281"/>
    </row>
    <row r="28" spans="1:20" x14ac:dyDescent="0.25">
      <c r="A28" s="172"/>
      <c r="B28" s="277"/>
      <c r="E28" s="173"/>
      <c r="P28" s="283"/>
      <c r="Q28" s="283"/>
      <c r="R28" s="284"/>
      <c r="S28" s="270"/>
      <c r="T28" s="280"/>
    </row>
    <row r="29" spans="1:20" x14ac:dyDescent="0.25">
      <c r="A29" s="172"/>
      <c r="B29" s="277"/>
      <c r="C29" s="132" t="s">
        <v>107</v>
      </c>
      <c r="E29" s="173"/>
      <c r="P29" s="283"/>
      <c r="Q29" s="283"/>
      <c r="R29" s="284"/>
      <c r="S29" s="270"/>
      <c r="T29" s="281"/>
    </row>
    <row r="30" spans="1:20" ht="15.75" thickBot="1" x14ac:dyDescent="0.3">
      <c r="A30" s="172"/>
      <c r="B30"/>
      <c r="E30" s="173"/>
      <c r="P30" s="283"/>
      <c r="Q30" s="283"/>
      <c r="R30" s="284"/>
      <c r="S30" s="270"/>
      <c r="T30" s="280"/>
    </row>
    <row r="31" spans="1:20" ht="15.75" thickBot="1" x14ac:dyDescent="0.3">
      <c r="A31" s="172"/>
      <c r="B31">
        <v>5</v>
      </c>
      <c r="C31" s="1" t="s">
        <v>106</v>
      </c>
      <c r="D31" s="141">
        <v>1.85</v>
      </c>
      <c r="E31" s="297" t="s">
        <v>108</v>
      </c>
      <c r="P31" s="283"/>
      <c r="Q31" s="283"/>
      <c r="R31" s="284"/>
      <c r="S31" s="270"/>
      <c r="T31" s="281"/>
    </row>
    <row r="32" spans="1:20" ht="15.75" thickBot="1" x14ac:dyDescent="0.3">
      <c r="A32" s="172"/>
      <c r="B32">
        <v>6</v>
      </c>
      <c r="C32" s="1" t="s">
        <v>152</v>
      </c>
      <c r="D32" s="143">
        <v>0</v>
      </c>
      <c r="E32" s="297"/>
      <c r="P32" s="283"/>
      <c r="Q32" s="283"/>
      <c r="R32" s="284"/>
      <c r="S32" s="270"/>
      <c r="T32" s="280"/>
    </row>
    <row r="33" spans="1:20" ht="15.75" thickBot="1" x14ac:dyDescent="0.3">
      <c r="A33" s="172"/>
      <c r="B33">
        <v>7</v>
      </c>
      <c r="C33" s="1" t="s">
        <v>109</v>
      </c>
      <c r="D33" s="141">
        <v>50000</v>
      </c>
      <c r="E33" s="295"/>
      <c r="H33" s="168"/>
      <c r="P33" s="283"/>
      <c r="Q33" s="283"/>
      <c r="R33" s="284"/>
      <c r="S33" s="270"/>
      <c r="T33" s="281"/>
    </row>
    <row r="34" spans="1:20" ht="15.75" thickBot="1" x14ac:dyDescent="0.3">
      <c r="A34" s="172"/>
      <c r="B34">
        <v>8</v>
      </c>
      <c r="C34" s="1" t="s">
        <v>112</v>
      </c>
      <c r="D34" s="146">
        <v>20</v>
      </c>
      <c r="E34" s="295" t="s">
        <v>103</v>
      </c>
      <c r="P34" s="283"/>
      <c r="Q34" s="283"/>
      <c r="R34" s="284"/>
      <c r="S34" s="270"/>
      <c r="T34" s="280"/>
    </row>
    <row r="35" spans="1:20" ht="15.75" thickBot="1" x14ac:dyDescent="0.3">
      <c r="A35" s="172"/>
      <c r="B35">
        <v>9</v>
      </c>
      <c r="C35" s="1" t="s">
        <v>113</v>
      </c>
      <c r="D35" s="141">
        <v>9</v>
      </c>
      <c r="E35" s="295" t="s">
        <v>114</v>
      </c>
      <c r="P35" s="283"/>
      <c r="Q35" s="283"/>
      <c r="R35" s="284"/>
      <c r="S35" s="270"/>
      <c r="T35" s="281"/>
    </row>
    <row r="36" spans="1:20" ht="15.75" thickBot="1" x14ac:dyDescent="0.3">
      <c r="A36" s="172"/>
      <c r="B36">
        <v>10</v>
      </c>
      <c r="C36" s="1" t="s">
        <v>116</v>
      </c>
      <c r="D36" s="143">
        <v>0</v>
      </c>
      <c r="E36" s="295"/>
      <c r="P36" s="283"/>
      <c r="Q36" s="283"/>
      <c r="R36" s="284"/>
      <c r="S36" s="270"/>
      <c r="T36" s="280"/>
    </row>
    <row r="37" spans="1:20" ht="15.75" thickBot="1" x14ac:dyDescent="0.3">
      <c r="A37" s="172"/>
      <c r="B37">
        <v>11</v>
      </c>
      <c r="C37" s="1" t="s">
        <v>128</v>
      </c>
      <c r="D37" s="162">
        <v>0.03</v>
      </c>
      <c r="E37" s="295"/>
      <c r="P37" s="283"/>
      <c r="Q37" s="283"/>
      <c r="R37" s="284"/>
      <c r="S37" s="270"/>
    </row>
    <row r="38" spans="1:20" x14ac:dyDescent="0.25">
      <c r="A38" s="172"/>
      <c r="B38" s="277"/>
      <c r="E38" s="173"/>
      <c r="P38" s="283"/>
      <c r="Q38" s="283"/>
      <c r="R38" s="284"/>
      <c r="S38" s="270"/>
      <c r="T38" s="280"/>
    </row>
    <row r="39" spans="1:20" ht="15.75" thickBot="1" x14ac:dyDescent="0.3">
      <c r="A39" s="172"/>
      <c r="B39" s="277"/>
      <c r="C39" s="142" t="s">
        <v>211</v>
      </c>
      <c r="E39" s="173"/>
      <c r="P39" s="283"/>
      <c r="Q39" s="283"/>
      <c r="R39" s="284"/>
      <c r="S39" s="270"/>
      <c r="T39" s="281"/>
    </row>
    <row r="40" spans="1:20" ht="15.75" thickBot="1" x14ac:dyDescent="0.3">
      <c r="A40" s="172"/>
      <c r="B40" s="277"/>
      <c r="C40" s="145" t="s">
        <v>110</v>
      </c>
      <c r="D40" s="153">
        <f>$D$15*1000*$D$31</f>
        <v>74000</v>
      </c>
      <c r="E40" s="173"/>
      <c r="P40" s="283"/>
      <c r="Q40" s="283"/>
      <c r="R40" s="284"/>
      <c r="S40" s="270"/>
      <c r="T40" s="280"/>
    </row>
    <row r="41" spans="1:20" ht="15.75" thickBot="1" x14ac:dyDescent="0.3">
      <c r="A41" s="172"/>
      <c r="B41" s="277"/>
      <c r="C41" s="145" t="s">
        <v>151</v>
      </c>
      <c r="D41" s="193">
        <f>D33/(D40*(1-D32))</f>
        <v>0.67567567567567566</v>
      </c>
      <c r="E41" s="173"/>
      <c r="P41" s="283"/>
      <c r="Q41" s="283"/>
      <c r="R41" s="284"/>
      <c r="S41" s="270"/>
      <c r="T41" s="281"/>
    </row>
    <row r="42" spans="1:20" ht="15.75" thickBot="1" x14ac:dyDescent="0.3">
      <c r="A42" s="172"/>
      <c r="B42" s="277"/>
      <c r="C42" s="145" t="s">
        <v>111</v>
      </c>
      <c r="D42" s="153">
        <f>(($D$31*1000*$D$15)*(1-$D$32))-D33</f>
        <v>24000</v>
      </c>
      <c r="E42" s="173"/>
      <c r="P42" s="283"/>
      <c r="Q42" s="283"/>
      <c r="R42" s="284"/>
      <c r="S42" s="270"/>
      <c r="T42" s="280"/>
    </row>
    <row r="43" spans="1:20" ht="15.75" thickBot="1" x14ac:dyDescent="0.3">
      <c r="A43" s="172"/>
      <c r="B43" s="277"/>
      <c r="C43" s="145" t="s">
        <v>115</v>
      </c>
      <c r="D43" s="153">
        <f>$D$34*$D$15</f>
        <v>800</v>
      </c>
      <c r="E43" s="173"/>
      <c r="P43" s="283"/>
      <c r="Q43" s="283"/>
      <c r="R43" s="284"/>
      <c r="S43" s="270"/>
      <c r="T43" s="281"/>
    </row>
    <row r="44" spans="1:20" x14ac:dyDescent="0.25">
      <c r="A44" s="172"/>
      <c r="B44" s="277"/>
      <c r="E44" s="173"/>
      <c r="P44" s="283"/>
      <c r="Q44" s="283"/>
      <c r="R44" s="284"/>
      <c r="S44" s="270"/>
      <c r="T44" s="280"/>
    </row>
    <row r="45" spans="1:20" x14ac:dyDescent="0.25">
      <c r="A45" s="172"/>
      <c r="B45" s="277"/>
      <c r="E45" s="173"/>
      <c r="P45" s="283"/>
      <c r="Q45" s="283"/>
      <c r="R45" s="284"/>
      <c r="S45" s="270"/>
      <c r="T45" s="281"/>
    </row>
    <row r="46" spans="1:20" x14ac:dyDescent="0.25">
      <c r="A46" s="172"/>
      <c r="B46" s="277"/>
      <c r="C46" s="148" t="s">
        <v>117</v>
      </c>
      <c r="E46" s="173"/>
      <c r="P46" s="283"/>
      <c r="Q46" s="283"/>
      <c r="R46" s="284"/>
      <c r="S46" s="270"/>
      <c r="T46" s="280"/>
    </row>
    <row r="47" spans="1:20" ht="15.75" thickBot="1" x14ac:dyDescent="0.3">
      <c r="A47" s="172"/>
      <c r="B47"/>
      <c r="E47" s="173"/>
      <c r="P47" s="283"/>
      <c r="Q47" s="283"/>
      <c r="R47" s="284"/>
      <c r="S47" s="270"/>
      <c r="T47" s="281"/>
    </row>
    <row r="48" spans="1:20" ht="15.75" thickBot="1" x14ac:dyDescent="0.3">
      <c r="A48" s="172"/>
      <c r="B48">
        <v>12</v>
      </c>
      <c r="C48" s="1" t="s">
        <v>118</v>
      </c>
      <c r="D48" s="150">
        <v>0</v>
      </c>
      <c r="E48" s="173"/>
      <c r="P48" s="283"/>
      <c r="Q48" s="283"/>
      <c r="R48" s="284"/>
      <c r="S48" s="270"/>
      <c r="T48" s="280"/>
    </row>
    <row r="49" spans="1:20" ht="15.75" thickBot="1" x14ac:dyDescent="0.3">
      <c r="A49" s="172"/>
      <c r="B49">
        <v>13</v>
      </c>
      <c r="C49" s="1" t="s">
        <v>119</v>
      </c>
      <c r="D49" s="157">
        <v>0.01</v>
      </c>
      <c r="E49" s="173"/>
      <c r="P49" s="283"/>
      <c r="Q49" s="283"/>
      <c r="R49" s="284"/>
      <c r="S49" s="270"/>
    </row>
    <row r="50" spans="1:20" ht="15.75" thickBot="1" x14ac:dyDescent="0.3">
      <c r="A50" s="172"/>
      <c r="B50">
        <v>14</v>
      </c>
      <c r="C50" s="1" t="s">
        <v>120</v>
      </c>
      <c r="D50" s="149">
        <v>20</v>
      </c>
      <c r="E50" s="295" t="s">
        <v>121</v>
      </c>
      <c r="P50" s="283"/>
      <c r="Q50" s="283"/>
      <c r="R50" s="284"/>
      <c r="S50" s="270"/>
      <c r="T50" s="280"/>
    </row>
    <row r="51" spans="1:20" x14ac:dyDescent="0.25">
      <c r="A51" s="172"/>
      <c r="B51" s="167"/>
      <c r="E51" s="173"/>
      <c r="P51" s="283"/>
      <c r="Q51" s="283"/>
      <c r="R51" s="284"/>
      <c r="S51" s="270"/>
      <c r="T51" s="281"/>
    </row>
    <row r="52" spans="1:20" ht="15.75" thickBot="1" x14ac:dyDescent="0.3">
      <c r="A52" s="172"/>
      <c r="B52" s="167"/>
      <c r="C52" s="142" t="s">
        <v>211</v>
      </c>
      <c r="E52" s="173"/>
      <c r="P52" s="283"/>
      <c r="Q52" s="283"/>
      <c r="R52" s="284"/>
      <c r="S52" s="270"/>
      <c r="T52" s="280"/>
    </row>
    <row r="53" spans="1:20" ht="15.75" thickBot="1" x14ac:dyDescent="0.3">
      <c r="A53" s="172"/>
      <c r="B53" s="167"/>
      <c r="C53" s="145" t="s">
        <v>122</v>
      </c>
      <c r="D53" s="160">
        <f>D48*D42</f>
        <v>0</v>
      </c>
      <c r="E53" s="173"/>
      <c r="P53" s="283"/>
      <c r="Q53" s="283"/>
      <c r="R53" s="284"/>
      <c r="S53" s="270"/>
      <c r="T53" s="281"/>
    </row>
    <row r="54" spans="1:20" ht="15.75" thickBot="1" x14ac:dyDescent="0.3">
      <c r="A54" s="172"/>
      <c r="B54" s="167"/>
      <c r="C54" s="145" t="s">
        <v>125</v>
      </c>
      <c r="D54" s="154">
        <f>'100% Ownership Cash Flow'!B71</f>
        <v>0</v>
      </c>
      <c r="E54" s="173"/>
      <c r="P54" s="283"/>
      <c r="Q54" s="283"/>
      <c r="R54" s="284"/>
      <c r="S54" s="270"/>
      <c r="T54" s="280"/>
    </row>
    <row r="55" spans="1:20" x14ac:dyDescent="0.25">
      <c r="A55" s="172"/>
      <c r="B55" s="167"/>
      <c r="E55" s="173"/>
      <c r="P55" s="283"/>
      <c r="Q55" s="283"/>
      <c r="R55" s="284"/>
      <c r="S55" s="270"/>
      <c r="T55" s="281"/>
    </row>
    <row r="56" spans="1:20" x14ac:dyDescent="0.25">
      <c r="A56" s="172"/>
      <c r="B56" s="167"/>
      <c r="C56" s="132" t="s">
        <v>123</v>
      </c>
      <c r="E56" s="173"/>
      <c r="P56" s="283"/>
      <c r="Q56" s="283"/>
      <c r="R56" s="284"/>
      <c r="S56" s="270"/>
      <c r="T56" s="280"/>
    </row>
    <row r="57" spans="1:20" ht="15.75" thickBot="1" x14ac:dyDescent="0.3">
      <c r="A57" s="172"/>
      <c r="B57" s="167"/>
      <c r="E57" s="173"/>
      <c r="P57" s="283"/>
      <c r="Q57" s="283"/>
      <c r="R57" s="284"/>
      <c r="S57" s="270"/>
      <c r="T57" s="281"/>
    </row>
    <row r="58" spans="1:20" ht="15.75" thickBot="1" x14ac:dyDescent="0.3">
      <c r="A58" s="172"/>
      <c r="B58" s="276">
        <v>15</v>
      </c>
      <c r="C58" s="1" t="s">
        <v>124</v>
      </c>
      <c r="D58" s="161">
        <v>5.0000000000000001E-3</v>
      </c>
      <c r="E58" s="173"/>
      <c r="P58" s="283"/>
      <c r="Q58" s="283"/>
      <c r="R58" s="284"/>
      <c r="S58" s="270"/>
      <c r="T58" s="280"/>
    </row>
    <row r="59" spans="1:20" x14ac:dyDescent="0.25">
      <c r="A59" s="172"/>
      <c r="E59" s="173"/>
      <c r="P59" s="283"/>
      <c r="Q59" s="283"/>
      <c r="R59" s="284"/>
      <c r="S59" s="270"/>
      <c r="T59" s="281"/>
    </row>
    <row r="60" spans="1:20" x14ac:dyDescent="0.25">
      <c r="A60" s="172"/>
      <c r="E60" s="173"/>
      <c r="P60" s="283"/>
      <c r="Q60" s="283"/>
      <c r="R60" s="284"/>
      <c r="S60" s="270"/>
      <c r="T60" s="280"/>
    </row>
    <row r="61" spans="1:20" ht="15.75" thickBot="1" x14ac:dyDescent="0.3">
      <c r="A61" s="172"/>
      <c r="E61" s="173"/>
      <c r="P61" s="283"/>
      <c r="Q61" s="283"/>
      <c r="R61" s="284"/>
      <c r="S61" s="270"/>
    </row>
    <row r="62" spans="1:20" x14ac:dyDescent="0.25">
      <c r="A62" s="294"/>
      <c r="B62" s="343" t="s">
        <v>126</v>
      </c>
      <c r="C62" s="344"/>
      <c r="D62" s="159"/>
      <c r="E62" s="298"/>
      <c r="F62" s="159"/>
      <c r="P62" s="283"/>
      <c r="Q62" s="283"/>
      <c r="R62" s="284"/>
      <c r="S62" s="270"/>
      <c r="T62" s="280"/>
    </row>
    <row r="63" spans="1:20" ht="15.75" thickBot="1" x14ac:dyDescent="0.3">
      <c r="A63" s="294"/>
      <c r="B63" s="345"/>
      <c r="C63" s="346"/>
      <c r="D63" s="159"/>
      <c r="E63" s="298"/>
      <c r="F63" s="159"/>
      <c r="P63" s="283"/>
      <c r="Q63" s="283"/>
      <c r="R63" s="284"/>
      <c r="S63" s="270"/>
      <c r="T63" s="281"/>
    </row>
    <row r="64" spans="1:20" ht="15.75" thickBot="1" x14ac:dyDescent="0.3">
      <c r="A64" s="172"/>
      <c r="E64" s="173"/>
      <c r="P64" s="283"/>
      <c r="Q64" s="283"/>
      <c r="R64" s="284"/>
      <c r="S64" s="270"/>
      <c r="T64" s="280"/>
    </row>
    <row r="65" spans="1:20" ht="15.75" thickBot="1" x14ac:dyDescent="0.3">
      <c r="A65" s="172"/>
      <c r="D65" s="212" t="s">
        <v>30</v>
      </c>
      <c r="E65" s="173"/>
      <c r="P65" s="283"/>
      <c r="Q65" s="283"/>
      <c r="R65" s="284"/>
      <c r="S65" s="270"/>
      <c r="T65" s="281"/>
    </row>
    <row r="66" spans="1:20" x14ac:dyDescent="0.25">
      <c r="A66" s="172"/>
      <c r="B66" s="163" t="s">
        <v>22</v>
      </c>
      <c r="C66" s="210">
        <f>'100% Ownership Cash Flow'!B35</f>
        <v>100965.30392121334</v>
      </c>
      <c r="D66" s="171"/>
      <c r="E66" s="173"/>
      <c r="P66" s="283"/>
      <c r="Q66" s="283"/>
      <c r="R66" s="284"/>
      <c r="S66" s="270"/>
      <c r="T66" s="280"/>
    </row>
    <row r="67" spans="1:20" x14ac:dyDescent="0.25">
      <c r="A67" s="172"/>
      <c r="B67" s="164" t="s">
        <v>127</v>
      </c>
      <c r="C67" s="205">
        <f>'100% Ownership Cash Flow'!B36</f>
        <v>0.31010368790169984</v>
      </c>
      <c r="D67" s="187"/>
      <c r="E67" s="173"/>
      <c r="P67" s="283"/>
      <c r="Q67" s="283"/>
      <c r="R67" s="284"/>
      <c r="S67" s="270"/>
      <c r="T67" s="281"/>
    </row>
    <row r="68" spans="1:20" x14ac:dyDescent="0.25">
      <c r="A68" s="172"/>
      <c r="B68" s="165" t="s">
        <v>47</v>
      </c>
      <c r="C68" s="208">
        <f>IF(ISNUMBER('100% Ownership Cash Flow'!B38)=FALSE,"Project Payback is More Than 25 Years",'100% Ownership Cash Flow'!B38)</f>
        <v>3.1866932884995931</v>
      </c>
      <c r="D68" s="211"/>
      <c r="E68" s="173"/>
      <c r="P68" s="283"/>
      <c r="Q68" s="283"/>
      <c r="R68" s="284"/>
      <c r="S68" s="270"/>
      <c r="T68" s="280"/>
    </row>
    <row r="69" spans="1:20" ht="47.1" customHeight="1" x14ac:dyDescent="0.25">
      <c r="A69" s="172"/>
      <c r="B69" s="165" t="s">
        <v>51</v>
      </c>
      <c r="C69" s="208">
        <f>IF(ISNUMBER('100% Ownership Cash Flow'!B39)= TRUE, '100% Ownership Cash Flow'!B39,"Project Payback is More Than 25 Years")</f>
        <v>3.4047201429873963</v>
      </c>
      <c r="D69" s="213" t="str">
        <f>IF(C69&lt;5,"Investment in the project is highly recommended",IF(C69&lt;10,"Investment in project is recommended","Investment in the project is not recommended. Consider entering the PPA option"))</f>
        <v>Investment in the project is highly recommended</v>
      </c>
      <c r="E69" s="173"/>
      <c r="P69" s="283"/>
      <c r="Q69" s="283"/>
      <c r="R69" s="284"/>
      <c r="S69" s="270"/>
      <c r="T69" s="281"/>
    </row>
    <row r="70" spans="1:20" x14ac:dyDescent="0.25">
      <c r="A70" s="172"/>
      <c r="B70" s="206" t="s">
        <v>129</v>
      </c>
      <c r="C70" s="204">
        <f>AVERAGE('100% Ownership Cash Flow'!C13:AA13)+AVERAGE('100% Ownership Cash Flow'!C11:AA11)</f>
        <v>7432.0540562425622</v>
      </c>
      <c r="D70" s="139"/>
      <c r="E70" s="173"/>
      <c r="P70" s="283"/>
      <c r="Q70" s="283"/>
      <c r="R70" s="284"/>
      <c r="S70" s="270"/>
      <c r="T70" s="280"/>
    </row>
    <row r="71" spans="1:20" x14ac:dyDescent="0.25">
      <c r="A71" s="172"/>
      <c r="B71" s="207" t="s">
        <v>156</v>
      </c>
      <c r="C71" s="209" t="str">
        <f>IF(D48&gt;0,(C70-D54),"N/A")</f>
        <v>N/A</v>
      </c>
      <c r="D71" s="347" t="str">
        <f>IF(D48&gt;0,"Please refer to this if the school is receiving a federal or state loan and it's main criteria is savings in utility bills. "," ")</f>
        <v xml:space="preserve"> </v>
      </c>
      <c r="E71" s="173"/>
      <c r="P71" s="283"/>
      <c r="Q71" s="283"/>
      <c r="R71" s="284"/>
      <c r="S71" s="270"/>
      <c r="T71" s="281"/>
    </row>
    <row r="72" spans="1:20" ht="57" customHeight="1" thickBot="1" x14ac:dyDescent="0.3">
      <c r="A72" s="172"/>
      <c r="B72" s="239" t="s">
        <v>157</v>
      </c>
      <c r="C72" s="240" t="str">
        <f>IF(D48&gt;0,C70,"N/A")</f>
        <v>N/A</v>
      </c>
      <c r="D72" s="348"/>
      <c r="E72" s="173"/>
      <c r="P72" s="283"/>
      <c r="Q72" s="283"/>
      <c r="R72" s="284"/>
      <c r="S72" s="270"/>
      <c r="T72" s="280"/>
    </row>
    <row r="73" spans="1:20" x14ac:dyDescent="0.25">
      <c r="A73" s="172"/>
      <c r="E73" s="173"/>
      <c r="P73" s="283"/>
      <c r="Q73" s="283"/>
      <c r="R73" s="284"/>
      <c r="S73" s="270"/>
    </row>
    <row r="74" spans="1:20" x14ac:dyDescent="0.25">
      <c r="A74" s="172"/>
      <c r="E74" s="173"/>
      <c r="P74" s="283"/>
      <c r="Q74" s="283"/>
      <c r="R74" s="284"/>
      <c r="S74" s="270"/>
      <c r="T74" s="280"/>
    </row>
    <row r="75" spans="1:20" x14ac:dyDescent="0.25">
      <c r="A75" s="172"/>
      <c r="E75" s="173"/>
      <c r="P75" s="283"/>
      <c r="Q75" s="283"/>
      <c r="R75" s="284"/>
      <c r="S75" s="270"/>
      <c r="T75" s="281"/>
    </row>
    <row r="76" spans="1:20" x14ac:dyDescent="0.25">
      <c r="A76" s="172"/>
      <c r="E76" s="173"/>
      <c r="P76" s="283"/>
      <c r="Q76" s="283"/>
      <c r="R76" s="284"/>
      <c r="S76" s="270"/>
      <c r="T76" s="280"/>
    </row>
    <row r="77" spans="1:20" x14ac:dyDescent="0.25">
      <c r="A77" s="172"/>
      <c r="E77" s="173"/>
      <c r="P77" s="283"/>
      <c r="Q77" s="283"/>
      <c r="R77" s="284"/>
      <c r="S77" s="270"/>
      <c r="T77" s="281"/>
    </row>
    <row r="78" spans="1:20" x14ac:dyDescent="0.25">
      <c r="A78" s="172"/>
      <c r="E78" s="173"/>
      <c r="P78" s="283"/>
      <c r="Q78" s="283"/>
      <c r="R78" s="284"/>
      <c r="S78" s="270"/>
      <c r="T78" s="280"/>
    </row>
    <row r="79" spans="1:20" x14ac:dyDescent="0.25">
      <c r="A79" s="172"/>
      <c r="E79" s="173"/>
      <c r="P79" s="283"/>
      <c r="Q79" s="283"/>
      <c r="R79" s="284"/>
      <c r="S79" s="270"/>
      <c r="T79" s="281"/>
    </row>
    <row r="80" spans="1:20" x14ac:dyDescent="0.25">
      <c r="A80" s="172"/>
      <c r="E80" s="173"/>
      <c r="P80" s="283"/>
      <c r="Q80" s="283"/>
      <c r="R80" s="284"/>
      <c r="S80" s="270"/>
      <c r="T80" s="280"/>
    </row>
    <row r="81" spans="1:20" x14ac:dyDescent="0.25">
      <c r="A81" s="172"/>
      <c r="E81" s="173"/>
      <c r="P81" s="283"/>
      <c r="Q81" s="283"/>
      <c r="R81" s="284"/>
      <c r="S81" s="270"/>
      <c r="T81" s="281"/>
    </row>
    <row r="82" spans="1:20" x14ac:dyDescent="0.25">
      <c r="A82" s="172"/>
      <c r="E82" s="173"/>
      <c r="P82" s="283"/>
      <c r="Q82" s="283"/>
      <c r="R82" s="284"/>
      <c r="S82" s="270"/>
      <c r="T82" s="280"/>
    </row>
    <row r="83" spans="1:20" x14ac:dyDescent="0.25">
      <c r="A83" s="172"/>
      <c r="E83" s="173"/>
      <c r="P83" s="283"/>
      <c r="Q83" s="283"/>
      <c r="R83" s="284"/>
      <c r="S83" s="270"/>
      <c r="T83" s="281"/>
    </row>
    <row r="84" spans="1:20" x14ac:dyDescent="0.25">
      <c r="A84" s="172"/>
      <c r="E84" s="173"/>
      <c r="P84" s="283"/>
      <c r="Q84" s="283"/>
      <c r="R84" s="284"/>
      <c r="S84" s="270"/>
      <c r="T84" s="280"/>
    </row>
    <row r="85" spans="1:20" x14ac:dyDescent="0.25">
      <c r="A85" s="172"/>
      <c r="E85" s="173"/>
      <c r="P85" s="283"/>
      <c r="Q85" s="283"/>
      <c r="R85" s="284"/>
      <c r="S85" s="270"/>
    </row>
    <row r="86" spans="1:20" x14ac:dyDescent="0.25">
      <c r="A86" s="172"/>
      <c r="E86" s="173"/>
      <c r="P86" s="283"/>
      <c r="Q86" s="283"/>
      <c r="R86" s="284"/>
      <c r="S86" s="270"/>
      <c r="T86" s="280"/>
    </row>
    <row r="87" spans="1:20" x14ac:dyDescent="0.25">
      <c r="A87" s="172"/>
      <c r="E87" s="173"/>
      <c r="P87" s="283"/>
      <c r="Q87" s="283"/>
      <c r="R87" s="284"/>
      <c r="S87" s="270"/>
      <c r="T87" s="281"/>
    </row>
    <row r="88" spans="1:20" x14ac:dyDescent="0.25">
      <c r="A88" s="172"/>
      <c r="E88" s="173"/>
      <c r="P88" s="283"/>
      <c r="Q88" s="283"/>
      <c r="R88" s="284"/>
      <c r="S88" s="270"/>
      <c r="T88" s="280"/>
    </row>
    <row r="89" spans="1:20" x14ac:dyDescent="0.25">
      <c r="A89" s="172"/>
      <c r="E89" s="173"/>
      <c r="P89" s="283"/>
      <c r="Q89" s="283"/>
      <c r="R89" s="284"/>
      <c r="S89" s="270"/>
      <c r="T89" s="281"/>
    </row>
    <row r="90" spans="1:20" x14ac:dyDescent="0.25">
      <c r="A90" s="172"/>
      <c r="E90" s="173"/>
      <c r="P90" s="283"/>
      <c r="Q90" s="283"/>
      <c r="R90" s="284"/>
      <c r="S90" s="270"/>
      <c r="T90" s="280"/>
    </row>
    <row r="91" spans="1:20" x14ac:dyDescent="0.25">
      <c r="A91" s="172"/>
      <c r="E91" s="173"/>
      <c r="P91" s="283"/>
      <c r="Q91" s="283"/>
      <c r="R91" s="284"/>
      <c r="S91" s="270"/>
      <c r="T91" s="281"/>
    </row>
    <row r="92" spans="1:20" x14ac:dyDescent="0.25">
      <c r="A92" s="172"/>
      <c r="E92" s="173"/>
      <c r="P92" s="283"/>
      <c r="Q92" s="283"/>
      <c r="R92" s="284"/>
      <c r="S92" s="270"/>
      <c r="T92" s="280"/>
    </row>
    <row r="93" spans="1:20" ht="15.75" thickBot="1" x14ac:dyDescent="0.3">
      <c r="A93" s="174"/>
      <c r="B93" s="299"/>
      <c r="C93" s="175"/>
      <c r="D93" s="175"/>
      <c r="E93" s="176"/>
      <c r="P93" s="283"/>
      <c r="Q93" s="283"/>
      <c r="R93" s="284"/>
      <c r="S93" s="270"/>
      <c r="T93" s="281"/>
    </row>
    <row r="94" spans="1:20" x14ac:dyDescent="0.25">
      <c r="P94" s="283"/>
      <c r="Q94" s="283"/>
      <c r="R94" s="284"/>
      <c r="S94" s="270"/>
      <c r="T94" s="280"/>
    </row>
    <row r="95" spans="1:20" hidden="1" x14ac:dyDescent="0.25">
      <c r="P95" s="283"/>
      <c r="Q95" s="283"/>
      <c r="R95" s="284"/>
      <c r="S95" s="270"/>
      <c r="T95" s="281"/>
    </row>
    <row r="96" spans="1:20" hidden="1" x14ac:dyDescent="0.25">
      <c r="P96" s="283"/>
      <c r="Q96" s="283"/>
      <c r="R96" s="284"/>
      <c r="S96" s="270"/>
      <c r="T96" s="280"/>
    </row>
    <row r="97" spans="2:20" hidden="1" x14ac:dyDescent="0.25">
      <c r="B97" s="190"/>
      <c r="P97" s="283"/>
      <c r="Q97" s="283"/>
      <c r="R97" s="284"/>
      <c r="S97" s="270"/>
    </row>
    <row r="98" spans="2:20" hidden="1" x14ac:dyDescent="0.25">
      <c r="B98" s="191"/>
      <c r="P98" s="283"/>
      <c r="Q98" s="283"/>
      <c r="R98" s="284"/>
      <c r="S98" s="270"/>
      <c r="T98" s="280"/>
    </row>
    <row r="99" spans="2:20" hidden="1" x14ac:dyDescent="0.25">
      <c r="P99" s="283"/>
      <c r="Q99" s="283"/>
      <c r="R99" s="284"/>
      <c r="S99" s="270"/>
      <c r="T99" s="281"/>
    </row>
    <row r="100" spans="2:20" hidden="1" x14ac:dyDescent="0.25">
      <c r="P100" s="283"/>
      <c r="Q100" s="283"/>
      <c r="R100" s="284"/>
      <c r="S100" s="270"/>
      <c r="T100" s="280"/>
    </row>
    <row r="101" spans="2:20" hidden="1" x14ac:dyDescent="0.25">
      <c r="P101" s="283"/>
      <c r="Q101" s="283"/>
      <c r="R101" s="284"/>
      <c r="S101" s="270"/>
      <c r="T101" s="281"/>
    </row>
    <row r="102" spans="2:20" hidden="1" x14ac:dyDescent="0.25">
      <c r="P102" s="283"/>
      <c r="Q102" s="283"/>
      <c r="R102" s="284"/>
      <c r="S102" s="270"/>
      <c r="T102" s="280"/>
    </row>
    <row r="103" spans="2:20" hidden="1" x14ac:dyDescent="0.25">
      <c r="P103" s="283"/>
      <c r="Q103" s="283"/>
      <c r="R103" s="284"/>
      <c r="S103" s="270"/>
      <c r="T103" s="281"/>
    </row>
    <row r="104" spans="2:20" hidden="1" x14ac:dyDescent="0.25">
      <c r="P104" s="283"/>
      <c r="Q104" s="283"/>
      <c r="R104" s="284"/>
      <c r="S104" s="270"/>
      <c r="T104" s="280"/>
    </row>
    <row r="105" spans="2:20" hidden="1" x14ac:dyDescent="0.25">
      <c r="P105" s="283"/>
      <c r="Q105" s="283"/>
      <c r="R105" s="284"/>
      <c r="S105" s="270"/>
      <c r="T105" s="281"/>
    </row>
    <row r="106" spans="2:20" hidden="1" x14ac:dyDescent="0.25">
      <c r="P106" s="283"/>
      <c r="Q106" s="283"/>
      <c r="R106" s="284"/>
      <c r="S106" s="270"/>
      <c r="T106" s="280"/>
    </row>
    <row r="107" spans="2:20" hidden="1" x14ac:dyDescent="0.25">
      <c r="P107" s="283"/>
      <c r="Q107" s="283"/>
      <c r="R107" s="284"/>
      <c r="S107" s="270"/>
      <c r="T107" s="281"/>
    </row>
    <row r="108" spans="2:20" hidden="1" x14ac:dyDescent="0.25">
      <c r="P108" s="283"/>
      <c r="Q108" s="283"/>
      <c r="R108" s="284"/>
      <c r="S108" s="270"/>
      <c r="T108" s="280"/>
    </row>
    <row r="109" spans="2:20" hidden="1" x14ac:dyDescent="0.25">
      <c r="P109" s="283"/>
      <c r="Q109" s="283"/>
      <c r="R109" s="284"/>
      <c r="S109" s="270"/>
    </row>
    <row r="110" spans="2:20" hidden="1" x14ac:dyDescent="0.25">
      <c r="P110" s="283"/>
      <c r="Q110" s="283"/>
      <c r="R110" s="284"/>
      <c r="S110" s="270"/>
      <c r="T110" s="280"/>
    </row>
    <row r="111" spans="2:20" hidden="1" x14ac:dyDescent="0.25">
      <c r="P111" s="283"/>
      <c r="Q111" s="283"/>
      <c r="R111" s="284"/>
      <c r="S111" s="270"/>
      <c r="T111" s="281"/>
    </row>
    <row r="112" spans="2:20" hidden="1" x14ac:dyDescent="0.25">
      <c r="P112" s="283"/>
      <c r="Q112" s="283"/>
      <c r="R112" s="284"/>
      <c r="S112" s="270"/>
      <c r="T112" s="280"/>
    </row>
    <row r="113" spans="16:20" hidden="1" x14ac:dyDescent="0.25">
      <c r="P113" s="283"/>
      <c r="Q113" s="283"/>
      <c r="R113" s="284"/>
      <c r="S113" s="270"/>
      <c r="T113" s="281"/>
    </row>
    <row r="114" spans="16:20" hidden="1" x14ac:dyDescent="0.25">
      <c r="P114" s="283"/>
      <c r="Q114" s="283"/>
      <c r="R114" s="284"/>
      <c r="S114" s="270"/>
      <c r="T114" s="280"/>
    </row>
    <row r="115" spans="16:20" hidden="1" x14ac:dyDescent="0.25">
      <c r="P115" s="283"/>
      <c r="Q115" s="283"/>
      <c r="R115" s="284"/>
      <c r="S115" s="270"/>
      <c r="T115" s="281"/>
    </row>
    <row r="116" spans="16:20" hidden="1" x14ac:dyDescent="0.25">
      <c r="P116" s="283"/>
      <c r="Q116" s="283"/>
      <c r="R116" s="284"/>
      <c r="S116" s="270"/>
      <c r="T116" s="280"/>
    </row>
    <row r="117" spans="16:20" hidden="1" x14ac:dyDescent="0.25">
      <c r="P117" s="283"/>
      <c r="Q117" s="283"/>
      <c r="R117" s="284"/>
      <c r="S117" s="270"/>
      <c r="T117" s="281"/>
    </row>
    <row r="118" spans="16:20" hidden="1" x14ac:dyDescent="0.25">
      <c r="P118" s="283"/>
      <c r="Q118" s="283"/>
      <c r="R118" s="284"/>
      <c r="S118" s="270"/>
      <c r="T118" s="280"/>
    </row>
    <row r="119" spans="16:20" hidden="1" x14ac:dyDescent="0.25">
      <c r="P119" s="283"/>
      <c r="Q119" s="283"/>
      <c r="R119" s="284"/>
      <c r="S119" s="270"/>
      <c r="T119" s="281"/>
    </row>
    <row r="120" spans="16:20" hidden="1" x14ac:dyDescent="0.25">
      <c r="P120" s="283"/>
      <c r="Q120" s="283"/>
      <c r="R120" s="284"/>
      <c r="S120" s="270"/>
      <c r="T120" s="280"/>
    </row>
    <row r="121" spans="16:20" hidden="1" x14ac:dyDescent="0.25">
      <c r="P121" s="283"/>
      <c r="Q121" s="283"/>
      <c r="R121" s="284"/>
      <c r="S121" s="270"/>
    </row>
    <row r="122" spans="16:20" hidden="1" x14ac:dyDescent="0.25">
      <c r="P122" s="283"/>
      <c r="Q122" s="283"/>
      <c r="R122" s="284"/>
      <c r="S122" s="270"/>
      <c r="T122" s="280"/>
    </row>
    <row r="123" spans="16:20" hidden="1" x14ac:dyDescent="0.25">
      <c r="P123" s="283"/>
      <c r="Q123" s="283"/>
      <c r="R123" s="284"/>
      <c r="S123" s="270"/>
      <c r="T123" s="281"/>
    </row>
    <row r="124" spans="16:20" hidden="1" x14ac:dyDescent="0.25">
      <c r="P124" s="283"/>
      <c r="Q124" s="283"/>
      <c r="R124" s="284"/>
      <c r="S124" s="270"/>
      <c r="T124" s="280"/>
    </row>
    <row r="125" spans="16:20" hidden="1" x14ac:dyDescent="0.25">
      <c r="P125" s="283"/>
      <c r="Q125" s="283"/>
      <c r="R125" s="284"/>
      <c r="S125" s="270"/>
      <c r="T125" s="281"/>
    </row>
    <row r="126" spans="16:20" hidden="1" x14ac:dyDescent="0.25">
      <c r="P126" s="283"/>
      <c r="Q126" s="283"/>
      <c r="R126" s="284"/>
      <c r="S126" s="270"/>
      <c r="T126" s="280"/>
    </row>
    <row r="127" spans="16:20" hidden="1" x14ac:dyDescent="0.25">
      <c r="P127" s="283"/>
      <c r="Q127" s="283"/>
      <c r="R127" s="284"/>
      <c r="S127" s="270"/>
      <c r="T127" s="281"/>
    </row>
    <row r="128" spans="16:20" hidden="1" x14ac:dyDescent="0.25">
      <c r="P128" s="283"/>
      <c r="Q128" s="283"/>
      <c r="R128" s="284"/>
      <c r="S128" s="270"/>
      <c r="T128" s="280"/>
    </row>
    <row r="129" spans="16:20" hidden="1" x14ac:dyDescent="0.25">
      <c r="P129" s="283"/>
      <c r="Q129" s="283"/>
      <c r="R129" s="284"/>
      <c r="S129" s="270"/>
      <c r="T129" s="281"/>
    </row>
    <row r="130" spans="16:20" hidden="1" x14ac:dyDescent="0.25">
      <c r="P130" s="283"/>
      <c r="Q130" s="283"/>
      <c r="R130" s="284"/>
      <c r="S130" s="270"/>
      <c r="T130" s="280"/>
    </row>
    <row r="131" spans="16:20" hidden="1" x14ac:dyDescent="0.25">
      <c r="P131" s="283"/>
      <c r="Q131" s="283"/>
      <c r="R131" s="284"/>
      <c r="S131" s="270"/>
      <c r="T131" s="281"/>
    </row>
    <row r="132" spans="16:20" hidden="1" x14ac:dyDescent="0.25">
      <c r="P132" s="283"/>
      <c r="Q132" s="283"/>
      <c r="R132" s="284"/>
      <c r="S132" s="270"/>
      <c r="T132" s="280"/>
    </row>
    <row r="133" spans="16:20" hidden="1" x14ac:dyDescent="0.25"/>
    <row r="134" spans="16:20" hidden="1" x14ac:dyDescent="0.25">
      <c r="R134" s="282"/>
    </row>
    <row r="135" spans="16:20" hidden="1" x14ac:dyDescent="0.25">
      <c r="R135" s="282"/>
    </row>
    <row r="136" spans="16:20" hidden="1" x14ac:dyDescent="0.25">
      <c r="R136" s="282"/>
    </row>
    <row r="137" spans="16:20" hidden="1" x14ac:dyDescent="0.25">
      <c r="R137" s="282"/>
    </row>
    <row r="138" spans="16:20" hidden="1" x14ac:dyDescent="0.25">
      <c r="R138" s="282"/>
    </row>
    <row r="139" spans="16:20" hidden="1" x14ac:dyDescent="0.25">
      <c r="R139" s="282"/>
    </row>
    <row r="140" spans="16:20" hidden="1" x14ac:dyDescent="0.25">
      <c r="R140" s="282"/>
    </row>
    <row r="141" spans="16:20" hidden="1" x14ac:dyDescent="0.25">
      <c r="R141" s="282"/>
    </row>
    <row r="142" spans="16:20" hidden="1" x14ac:dyDescent="0.25">
      <c r="R142" s="282"/>
    </row>
    <row r="143" spans="16:20" hidden="1" x14ac:dyDescent="0.25">
      <c r="R143" s="282"/>
    </row>
    <row r="144" spans="16:20" hidden="1" x14ac:dyDescent="0.25">
      <c r="R144" s="282"/>
    </row>
    <row r="145" spans="18:18" hidden="1" x14ac:dyDescent="0.25"/>
    <row r="146" spans="18:18" hidden="1" x14ac:dyDescent="0.25">
      <c r="R146" s="282"/>
    </row>
    <row r="147" spans="18:18" hidden="1" x14ac:dyDescent="0.25">
      <c r="R147" s="282"/>
    </row>
    <row r="148" spans="18:18" hidden="1" x14ac:dyDescent="0.25">
      <c r="R148" s="282"/>
    </row>
    <row r="149" spans="18:18" hidden="1" x14ac:dyDescent="0.25">
      <c r="R149" s="282"/>
    </row>
    <row r="150" spans="18:18" hidden="1" x14ac:dyDescent="0.25">
      <c r="R150" s="282"/>
    </row>
    <row r="151" spans="18:18" hidden="1" x14ac:dyDescent="0.25">
      <c r="R151" s="282"/>
    </row>
    <row r="152" spans="18:18" hidden="1" x14ac:dyDescent="0.25">
      <c r="R152" s="282"/>
    </row>
    <row r="153" spans="18:18" hidden="1" x14ac:dyDescent="0.25">
      <c r="R153" s="282"/>
    </row>
    <row r="154" spans="18:18" hidden="1" x14ac:dyDescent="0.25">
      <c r="R154" s="282"/>
    </row>
    <row r="155" spans="18:18" hidden="1" x14ac:dyDescent="0.25">
      <c r="R155" s="282"/>
    </row>
    <row r="156" spans="18:18" hidden="1" x14ac:dyDescent="0.25">
      <c r="R156" s="282"/>
    </row>
    <row r="157" spans="18:18" hidden="1" x14ac:dyDescent="0.25"/>
    <row r="158" spans="18:18" hidden="1" x14ac:dyDescent="0.25">
      <c r="R158" s="282"/>
    </row>
    <row r="159" spans="18:18" hidden="1" x14ac:dyDescent="0.25">
      <c r="R159" s="282"/>
    </row>
    <row r="160" spans="18:18" hidden="1" x14ac:dyDescent="0.25">
      <c r="R160" s="282"/>
    </row>
    <row r="161" spans="18:18" hidden="1" x14ac:dyDescent="0.25">
      <c r="R161" s="282"/>
    </row>
    <row r="162" spans="18:18" hidden="1" x14ac:dyDescent="0.25">
      <c r="R162" s="282"/>
    </row>
    <row r="163" spans="18:18" hidden="1" x14ac:dyDescent="0.25">
      <c r="R163" s="282"/>
    </row>
    <row r="164" spans="18:18" hidden="1" x14ac:dyDescent="0.25">
      <c r="R164" s="282"/>
    </row>
    <row r="165" spans="18:18" hidden="1" x14ac:dyDescent="0.25">
      <c r="R165" s="282"/>
    </row>
    <row r="166" spans="18:18" hidden="1" x14ac:dyDescent="0.25">
      <c r="R166" s="282"/>
    </row>
    <row r="167" spans="18:18" hidden="1" x14ac:dyDescent="0.25">
      <c r="R167" s="282"/>
    </row>
    <row r="168" spans="18:18" hidden="1" x14ac:dyDescent="0.25">
      <c r="R168" s="282"/>
    </row>
    <row r="169" spans="18:18" hidden="1" x14ac:dyDescent="0.25"/>
    <row r="170" spans="18:18" hidden="1" x14ac:dyDescent="0.25">
      <c r="R170" s="282"/>
    </row>
    <row r="171" spans="18:18" hidden="1" x14ac:dyDescent="0.25">
      <c r="R171" s="282"/>
    </row>
    <row r="172" spans="18:18" hidden="1" x14ac:dyDescent="0.25">
      <c r="R172" s="282"/>
    </row>
    <row r="173" spans="18:18" hidden="1" x14ac:dyDescent="0.25">
      <c r="R173" s="282"/>
    </row>
    <row r="174" spans="18:18" hidden="1" x14ac:dyDescent="0.25">
      <c r="R174" s="282"/>
    </row>
    <row r="175" spans="18:18" hidden="1" x14ac:dyDescent="0.25">
      <c r="R175" s="282"/>
    </row>
    <row r="176" spans="18:18" hidden="1" x14ac:dyDescent="0.25">
      <c r="R176" s="282"/>
    </row>
    <row r="177" spans="18:18" hidden="1" x14ac:dyDescent="0.25">
      <c r="R177" s="282"/>
    </row>
    <row r="178" spans="18:18" hidden="1" x14ac:dyDescent="0.25">
      <c r="R178" s="282"/>
    </row>
    <row r="179" spans="18:18" hidden="1" x14ac:dyDescent="0.25">
      <c r="R179" s="282"/>
    </row>
    <row r="180" spans="18:18" hidden="1" x14ac:dyDescent="0.25">
      <c r="R180" s="282"/>
    </row>
    <row r="181" spans="18:18" hidden="1" x14ac:dyDescent="0.25"/>
    <row r="182" spans="18:18" hidden="1" x14ac:dyDescent="0.25">
      <c r="R182" s="282"/>
    </row>
    <row r="183" spans="18:18" hidden="1" x14ac:dyDescent="0.25">
      <c r="R183" s="282"/>
    </row>
    <row r="184" spans="18:18" hidden="1" x14ac:dyDescent="0.25">
      <c r="R184" s="282"/>
    </row>
    <row r="185" spans="18:18" hidden="1" x14ac:dyDescent="0.25">
      <c r="R185" s="282"/>
    </row>
    <row r="186" spans="18:18" hidden="1" x14ac:dyDescent="0.25">
      <c r="R186" s="282"/>
    </row>
    <row r="187" spans="18:18" hidden="1" x14ac:dyDescent="0.25">
      <c r="R187" s="282"/>
    </row>
    <row r="188" spans="18:18" hidden="1" x14ac:dyDescent="0.25">
      <c r="R188" s="282"/>
    </row>
    <row r="189" spans="18:18" hidden="1" x14ac:dyDescent="0.25">
      <c r="R189" s="282"/>
    </row>
    <row r="190" spans="18:18" hidden="1" x14ac:dyDescent="0.25">
      <c r="R190" s="282"/>
    </row>
    <row r="191" spans="18:18" hidden="1" x14ac:dyDescent="0.25">
      <c r="R191" s="282"/>
    </row>
    <row r="192" spans="18:18" hidden="1" x14ac:dyDescent="0.25">
      <c r="R192" s="282"/>
    </row>
    <row r="193" spans="18:18" hidden="1" x14ac:dyDescent="0.25"/>
    <row r="194" spans="18:18" hidden="1" x14ac:dyDescent="0.25">
      <c r="R194" s="282"/>
    </row>
    <row r="195" spans="18:18" hidden="1" x14ac:dyDescent="0.25">
      <c r="R195" s="282"/>
    </row>
    <row r="196" spans="18:18" hidden="1" x14ac:dyDescent="0.25">
      <c r="R196" s="282"/>
    </row>
    <row r="197" spans="18:18" hidden="1" x14ac:dyDescent="0.25">
      <c r="R197" s="282"/>
    </row>
    <row r="198" spans="18:18" hidden="1" x14ac:dyDescent="0.25">
      <c r="R198" s="282"/>
    </row>
    <row r="199" spans="18:18" hidden="1" x14ac:dyDescent="0.25">
      <c r="R199" s="282"/>
    </row>
    <row r="200" spans="18:18" hidden="1" x14ac:dyDescent="0.25">
      <c r="R200" s="282"/>
    </row>
    <row r="201" spans="18:18" hidden="1" x14ac:dyDescent="0.25">
      <c r="R201" s="282"/>
    </row>
    <row r="202" spans="18:18" hidden="1" x14ac:dyDescent="0.25">
      <c r="R202" s="282"/>
    </row>
    <row r="203" spans="18:18" hidden="1" x14ac:dyDescent="0.25">
      <c r="R203" s="282"/>
    </row>
    <row r="204" spans="18:18" hidden="1" x14ac:dyDescent="0.25">
      <c r="R204" s="282"/>
    </row>
    <row r="205" spans="18:18" hidden="1" x14ac:dyDescent="0.25"/>
    <row r="206" spans="18:18" hidden="1" x14ac:dyDescent="0.25">
      <c r="R206" s="282"/>
    </row>
    <row r="207" spans="18:18" hidden="1" x14ac:dyDescent="0.25">
      <c r="R207" s="282"/>
    </row>
    <row r="208" spans="18:18" hidden="1" x14ac:dyDescent="0.25">
      <c r="R208" s="282"/>
    </row>
    <row r="209" spans="18:18" hidden="1" x14ac:dyDescent="0.25">
      <c r="R209" s="282"/>
    </row>
    <row r="210" spans="18:18" hidden="1" x14ac:dyDescent="0.25">
      <c r="R210" s="282"/>
    </row>
    <row r="211" spans="18:18" hidden="1" x14ac:dyDescent="0.25">
      <c r="R211" s="282"/>
    </row>
    <row r="212" spans="18:18" hidden="1" x14ac:dyDescent="0.25">
      <c r="R212" s="282"/>
    </row>
    <row r="213" spans="18:18" hidden="1" x14ac:dyDescent="0.25">
      <c r="R213" s="282"/>
    </row>
    <row r="214" spans="18:18" hidden="1" x14ac:dyDescent="0.25">
      <c r="R214" s="282"/>
    </row>
    <row r="215" spans="18:18" hidden="1" x14ac:dyDescent="0.25">
      <c r="R215" s="282"/>
    </row>
    <row r="216" spans="18:18" hidden="1" x14ac:dyDescent="0.25">
      <c r="R216" s="282"/>
    </row>
    <row r="217" spans="18:18" hidden="1" x14ac:dyDescent="0.25"/>
    <row r="218" spans="18:18" hidden="1" x14ac:dyDescent="0.25">
      <c r="R218" s="282"/>
    </row>
    <row r="219" spans="18:18" hidden="1" x14ac:dyDescent="0.25">
      <c r="R219" s="282"/>
    </row>
    <row r="220" spans="18:18" hidden="1" x14ac:dyDescent="0.25">
      <c r="R220" s="282"/>
    </row>
    <row r="221" spans="18:18" hidden="1" x14ac:dyDescent="0.25">
      <c r="R221" s="282"/>
    </row>
    <row r="222" spans="18:18" hidden="1" x14ac:dyDescent="0.25">
      <c r="R222" s="282"/>
    </row>
    <row r="223" spans="18:18" hidden="1" x14ac:dyDescent="0.25">
      <c r="R223" s="282"/>
    </row>
    <row r="224" spans="18:18" hidden="1" x14ac:dyDescent="0.25">
      <c r="R224" s="282"/>
    </row>
    <row r="225" spans="18:18" hidden="1" x14ac:dyDescent="0.25">
      <c r="R225" s="282"/>
    </row>
    <row r="226" spans="18:18" hidden="1" x14ac:dyDescent="0.25">
      <c r="R226" s="282"/>
    </row>
    <row r="227" spans="18:18" hidden="1" x14ac:dyDescent="0.25">
      <c r="R227" s="282"/>
    </row>
    <row r="228" spans="18:18" hidden="1" x14ac:dyDescent="0.25">
      <c r="R228" s="282"/>
    </row>
  </sheetData>
  <mergeCells count="5">
    <mergeCell ref="B62:C63"/>
    <mergeCell ref="D71:D72"/>
    <mergeCell ref="A7:B7"/>
    <mergeCell ref="B2:C3"/>
    <mergeCell ref="J2:S3"/>
  </mergeCells>
  <conditionalFormatting sqref="C66">
    <cfRule type="cellIs" dxfId="11" priority="5" operator="greaterThan">
      <formula>0.01</formula>
    </cfRule>
    <cfRule type="cellIs" dxfId="10" priority="6" operator="lessThan">
      <formula>0.001</formula>
    </cfRule>
    <cfRule type="colorScale" priority="7">
      <colorScale>
        <cfvo type="formula" val="$C$66&gt;0"/>
        <cfvo type="formula" val="$C$66&lt;0"/>
        <color rgb="FF92D050"/>
        <color rgb="FFFF8587"/>
      </colorScale>
    </cfRule>
  </conditionalFormatting>
  <conditionalFormatting sqref="C70">
    <cfRule type="cellIs" dxfId="9" priority="4" operator="greaterThan">
      <formula>0</formula>
    </cfRule>
  </conditionalFormatting>
  <conditionalFormatting sqref="C71">
    <cfRule type="cellIs" dxfId="8" priority="1" operator="lessThan">
      <formula>0</formula>
    </cfRule>
    <cfRule type="cellIs" dxfId="7" priority="3" operator="greaterThan">
      <formula>0</formula>
    </cfRule>
  </conditionalFormatting>
  <conditionalFormatting sqref="C72">
    <cfRule type="cellIs" dxfId="6" priority="2" operator="greaterThan">
      <formula>0</formula>
    </cfRule>
  </conditionalFormatting>
  <pageMargins left="0.7" right="0.7" top="0.75" bottom="0.75" header="0.3" footer="0.3"/>
  <pageSetup orientation="portrait" horizontalDpi="4294967292" verticalDpi="429496729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Inputs!$B$4:$B$5</xm:f>
          </x14:formula1>
          <xm:sqref>C8:C9</xm:sqref>
        </x14:dataValidation>
        <x14:dataValidation type="list" allowBlank="1" showInputMessage="1" showErrorMessage="1" xr:uid="{00000000-0002-0000-0000-000001000000}">
          <x14:formula1>
            <xm:f>Inputs!$B$4:$B$21</xm:f>
          </x14:formula1>
          <xm:sqref>C7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F106"/>
  <sheetViews>
    <sheetView zoomScale="60" zoomScaleNormal="60" workbookViewId="0">
      <selection activeCell="D13" sqref="D13"/>
    </sheetView>
  </sheetViews>
  <sheetFormatPr defaultColWidth="0" defaultRowHeight="15" zeroHeight="1" x14ac:dyDescent="0.25"/>
  <cols>
    <col min="1" max="1" width="8.7109375" customWidth="1"/>
    <col min="2" max="2" width="51.7109375" style="128" customWidth="1"/>
    <col min="3" max="3" width="67.85546875" customWidth="1"/>
    <col min="4" max="4" width="24.42578125" customWidth="1"/>
    <col min="5" max="7" width="8.85546875" customWidth="1"/>
    <col min="8" max="8" width="12.140625" hidden="1" customWidth="1"/>
    <col min="9" max="11" width="8.85546875" hidden="1" customWidth="1"/>
    <col min="12" max="12" width="12.42578125" hidden="1" customWidth="1"/>
    <col min="13" max="13" width="12.85546875" hidden="1" customWidth="1"/>
    <col min="14" max="32" width="0" hidden="1" customWidth="1"/>
    <col min="33" max="16384" width="8.85546875" hidden="1"/>
  </cols>
  <sheetData>
    <row r="1" spans="1:32" x14ac:dyDescent="0.25">
      <c r="A1" s="293"/>
      <c r="B1" s="305"/>
      <c r="C1" s="170"/>
      <c r="D1" s="170"/>
      <c r="E1" s="305"/>
      <c r="F1" s="171"/>
      <c r="H1" s="128"/>
      <c r="K1" s="128"/>
      <c r="N1" s="128"/>
      <c r="Q1" s="128"/>
      <c r="T1" s="128"/>
      <c r="W1" s="128"/>
      <c r="Z1" s="128"/>
      <c r="AC1" s="128"/>
      <c r="AF1" s="128"/>
    </row>
    <row r="2" spans="1:32" ht="15.75" thickBot="1" x14ac:dyDescent="0.3">
      <c r="A2" s="172"/>
      <c r="B2"/>
      <c r="F2" s="173"/>
    </row>
    <row r="3" spans="1:32" ht="24" thickBot="1" x14ac:dyDescent="0.4">
      <c r="A3" s="352" t="s">
        <v>163</v>
      </c>
      <c r="B3" s="353"/>
      <c r="C3" s="233" t="s">
        <v>200</v>
      </c>
      <c r="F3" s="173"/>
      <c r="AA3" s="10"/>
      <c r="AB3" s="10"/>
    </row>
    <row r="4" spans="1:32" x14ac:dyDescent="0.25">
      <c r="A4" s="172"/>
      <c r="B4"/>
      <c r="F4" s="173"/>
    </row>
    <row r="5" spans="1:32" x14ac:dyDescent="0.25">
      <c r="A5" s="172"/>
      <c r="B5" s="230" t="s">
        <v>161</v>
      </c>
      <c r="C5">
        <f>VLOOKUP(C3,Inputs!B4:I21,3, FALSE)</f>
        <v>1211.2</v>
      </c>
      <c r="F5" s="173"/>
    </row>
    <row r="6" spans="1:32" x14ac:dyDescent="0.25">
      <c r="A6" s="172"/>
      <c r="B6"/>
      <c r="F6" s="173"/>
    </row>
    <row r="7" spans="1:32" ht="75" x14ac:dyDescent="0.25">
      <c r="A7" s="172"/>
      <c r="B7" s="241" t="s">
        <v>93</v>
      </c>
      <c r="C7" s="127" t="s">
        <v>92</v>
      </c>
      <c r="F7" s="173"/>
    </row>
    <row r="8" spans="1:32" ht="15.75" thickBot="1" x14ac:dyDescent="0.3">
      <c r="A8" s="172"/>
      <c r="B8" s="242"/>
      <c r="F8" s="173"/>
    </row>
    <row r="9" spans="1:32" ht="15.75" thickBot="1" x14ac:dyDescent="0.3">
      <c r="A9" s="172"/>
      <c r="B9" s="287">
        <v>1</v>
      </c>
      <c r="C9" s="1" t="s">
        <v>101</v>
      </c>
      <c r="D9" s="134">
        <v>60</v>
      </c>
      <c r="E9" s="1" t="s">
        <v>99</v>
      </c>
      <c r="F9" s="173"/>
    </row>
    <row r="10" spans="1:32" x14ac:dyDescent="0.25">
      <c r="A10" s="172"/>
      <c r="B10" s="242"/>
      <c r="F10" s="173"/>
    </row>
    <row r="11" spans="1:32" ht="15.75" thickBot="1" x14ac:dyDescent="0.3">
      <c r="A11" s="172"/>
      <c r="B11" s="242"/>
      <c r="C11" s="142" t="s">
        <v>95</v>
      </c>
      <c r="F11" s="173"/>
    </row>
    <row r="12" spans="1:32" ht="15.75" thickBot="1" x14ac:dyDescent="0.3">
      <c r="A12" s="172"/>
      <c r="B12" s="242"/>
      <c r="C12" s="130" t="s">
        <v>94</v>
      </c>
      <c r="D12" s="155">
        <f>D9*C5</f>
        <v>72672</v>
      </c>
      <c r="E12" s="129" t="s">
        <v>98</v>
      </c>
      <c r="F12" s="173"/>
    </row>
    <row r="13" spans="1:32" ht="15.75" thickBot="1" x14ac:dyDescent="0.3">
      <c r="A13" s="172"/>
      <c r="B13" s="242"/>
      <c r="C13" s="130" t="s">
        <v>97</v>
      </c>
      <c r="D13" s="156">
        <f>VLOOKUP(C3,Inputs!B4:I21,4, FALSE)*D9</f>
        <v>573.6</v>
      </c>
      <c r="E13" s="129" t="s">
        <v>99</v>
      </c>
      <c r="F13" s="173"/>
    </row>
    <row r="14" spans="1:32" x14ac:dyDescent="0.25">
      <c r="A14" s="172"/>
      <c r="B14" s="242"/>
      <c r="D14" s="288"/>
      <c r="F14" s="173"/>
    </row>
    <row r="15" spans="1:32" x14ac:dyDescent="0.25">
      <c r="A15" s="172"/>
      <c r="B15" s="242"/>
      <c r="F15" s="173"/>
    </row>
    <row r="16" spans="1:32" x14ac:dyDescent="0.25">
      <c r="A16" s="172"/>
      <c r="B16" s="242"/>
      <c r="C16" s="132" t="s">
        <v>171</v>
      </c>
      <c r="F16" s="173"/>
    </row>
    <row r="17" spans="1:8" ht="15.75" thickBot="1" x14ac:dyDescent="0.3">
      <c r="A17" s="172"/>
      <c r="B17" s="242"/>
      <c r="F17" s="173"/>
    </row>
    <row r="18" spans="1:8" ht="15.75" thickBot="1" x14ac:dyDescent="0.3">
      <c r="A18" s="172"/>
      <c r="B18" s="128">
        <v>2</v>
      </c>
      <c r="C18" s="1" t="s">
        <v>102</v>
      </c>
      <c r="D18" s="337">
        <f>VLOOKUP(C3,Inputs!B4:I21,5, FALSE)</f>
        <v>8.0100000000000005E-2</v>
      </c>
      <c r="E18" s="1" t="s">
        <v>100</v>
      </c>
      <c r="F18" s="173"/>
    </row>
    <row r="19" spans="1:8" ht="15.75" thickBot="1" x14ac:dyDescent="0.3">
      <c r="A19" s="172"/>
      <c r="B19" s="128">
        <v>3</v>
      </c>
      <c r="C19" s="1" t="s">
        <v>104</v>
      </c>
      <c r="D19" s="338">
        <f>VLOOKUP(C3,Inputs!B4:I21,6, FALSE)</f>
        <v>2.81</v>
      </c>
      <c r="E19" s="1" t="s">
        <v>103</v>
      </c>
      <c r="F19" s="173"/>
    </row>
    <row r="20" spans="1:8" ht="15.75" thickBot="1" x14ac:dyDescent="0.3">
      <c r="A20" s="172"/>
      <c r="B20" s="128">
        <v>4</v>
      </c>
      <c r="C20" s="1" t="s">
        <v>105</v>
      </c>
      <c r="D20" s="338">
        <f>250+D9</f>
        <v>310</v>
      </c>
      <c r="E20" s="1"/>
      <c r="F20" s="173"/>
    </row>
    <row r="21" spans="1:8" x14ac:dyDescent="0.25">
      <c r="A21" s="172"/>
      <c r="B21" s="242"/>
      <c r="F21" s="173"/>
    </row>
    <row r="22" spans="1:8" x14ac:dyDescent="0.25">
      <c r="A22" s="172"/>
      <c r="B22" s="242"/>
      <c r="F22" s="173"/>
    </row>
    <row r="23" spans="1:8" x14ac:dyDescent="0.25">
      <c r="A23" s="172"/>
      <c r="B23" s="242"/>
      <c r="C23" s="132" t="s">
        <v>107</v>
      </c>
      <c r="F23" s="173"/>
    </row>
    <row r="24" spans="1:8" ht="15.75" thickBot="1" x14ac:dyDescent="0.3">
      <c r="A24" s="172"/>
      <c r="B24" s="242"/>
      <c r="F24" s="173"/>
    </row>
    <row r="25" spans="1:8" ht="15.75" thickBot="1" x14ac:dyDescent="0.3">
      <c r="A25" s="172"/>
      <c r="B25" s="128">
        <v>5</v>
      </c>
      <c r="C25" s="1" t="s">
        <v>106</v>
      </c>
      <c r="D25" s="141">
        <v>1.85</v>
      </c>
      <c r="E25" s="10" t="s">
        <v>108</v>
      </c>
      <c r="F25" s="173"/>
    </row>
    <row r="26" spans="1:8" ht="15.75" thickBot="1" x14ac:dyDescent="0.3">
      <c r="A26" s="172"/>
      <c r="B26" s="128">
        <v>6</v>
      </c>
      <c r="C26" s="1" t="s">
        <v>152</v>
      </c>
      <c r="D26" s="143">
        <v>0.5</v>
      </c>
      <c r="E26" s="10"/>
      <c r="F26" s="173"/>
    </row>
    <row r="27" spans="1:8" ht="15.75" thickBot="1" x14ac:dyDescent="0.3">
      <c r="A27" s="172"/>
      <c r="B27" s="128">
        <v>7</v>
      </c>
      <c r="C27" s="1" t="s">
        <v>109</v>
      </c>
      <c r="D27" s="289">
        <v>0</v>
      </c>
      <c r="E27" s="1"/>
      <c r="F27" s="173"/>
      <c r="H27" s="168"/>
    </row>
    <row r="28" spans="1:8" ht="15.75" thickBot="1" x14ac:dyDescent="0.3">
      <c r="A28" s="172"/>
      <c r="B28" s="128">
        <v>8</v>
      </c>
      <c r="C28" s="1" t="s">
        <v>112</v>
      </c>
      <c r="D28" s="146">
        <v>20</v>
      </c>
      <c r="E28" s="1" t="s">
        <v>103</v>
      </c>
      <c r="F28" s="173"/>
    </row>
    <row r="29" spans="1:8" ht="15.75" thickBot="1" x14ac:dyDescent="0.3">
      <c r="A29" s="172"/>
      <c r="B29" s="128">
        <v>9</v>
      </c>
      <c r="C29" s="1" t="s">
        <v>113</v>
      </c>
      <c r="D29" s="141">
        <v>9</v>
      </c>
      <c r="E29" s="1" t="s">
        <v>114</v>
      </c>
      <c r="F29" s="173"/>
    </row>
    <row r="30" spans="1:8" ht="15.75" thickBot="1" x14ac:dyDescent="0.3">
      <c r="A30" s="172"/>
      <c r="B30" s="128">
        <v>10</v>
      </c>
      <c r="C30" s="1" t="s">
        <v>116</v>
      </c>
      <c r="D30" s="143">
        <v>0.4</v>
      </c>
      <c r="E30" s="1"/>
      <c r="F30" s="173"/>
    </row>
    <row r="31" spans="1:8" ht="15.75" thickBot="1" x14ac:dyDescent="0.3">
      <c r="A31" s="172"/>
      <c r="B31" s="128">
        <v>11</v>
      </c>
      <c r="C31" s="1" t="s">
        <v>128</v>
      </c>
      <c r="D31" s="162">
        <v>0.03</v>
      </c>
      <c r="E31" s="1"/>
      <c r="F31" s="173"/>
    </row>
    <row r="32" spans="1:8" x14ac:dyDescent="0.25">
      <c r="A32" s="172"/>
      <c r="B32" s="242"/>
      <c r="F32" s="173"/>
    </row>
    <row r="33" spans="1:6" ht="15.75" thickBot="1" x14ac:dyDescent="0.3">
      <c r="A33" s="172"/>
      <c r="B33" s="242"/>
      <c r="C33" s="142" t="s">
        <v>95</v>
      </c>
      <c r="F33" s="173"/>
    </row>
    <row r="34" spans="1:6" ht="15.75" thickBot="1" x14ac:dyDescent="0.3">
      <c r="A34" s="172"/>
      <c r="B34" s="242"/>
      <c r="C34" s="145" t="s">
        <v>110</v>
      </c>
      <c r="D34" s="153">
        <f>$D$9*1000*$D$25</f>
        <v>111000</v>
      </c>
      <c r="F34" s="173"/>
    </row>
    <row r="35" spans="1:6" ht="15.75" thickBot="1" x14ac:dyDescent="0.3">
      <c r="A35" s="172"/>
      <c r="B35" s="242"/>
      <c r="C35" s="145" t="s">
        <v>151</v>
      </c>
      <c r="D35" s="193">
        <f>D27/(D34*(1-D26))</f>
        <v>0</v>
      </c>
      <c r="F35" s="173"/>
    </row>
    <row r="36" spans="1:6" ht="15.75" thickBot="1" x14ac:dyDescent="0.3">
      <c r="A36" s="172"/>
      <c r="B36" s="242"/>
      <c r="C36" s="145" t="s">
        <v>111</v>
      </c>
      <c r="D36" s="153">
        <f>(($D$25*1000*$D$9)*(1-$D$26))-D27</f>
        <v>55500</v>
      </c>
      <c r="F36" s="173"/>
    </row>
    <row r="37" spans="1:6" ht="15.75" thickBot="1" x14ac:dyDescent="0.3">
      <c r="A37" s="172"/>
      <c r="B37" s="242"/>
      <c r="C37" s="145" t="s">
        <v>115</v>
      </c>
      <c r="D37" s="153">
        <f>$D$28*$D$9</f>
        <v>1200</v>
      </c>
      <c r="F37" s="173"/>
    </row>
    <row r="38" spans="1:6" x14ac:dyDescent="0.25">
      <c r="A38" s="172"/>
      <c r="B38" s="242"/>
      <c r="F38" s="173"/>
    </row>
    <row r="39" spans="1:6" x14ac:dyDescent="0.25">
      <c r="A39" s="172"/>
      <c r="B39" s="242"/>
      <c r="F39" s="173"/>
    </row>
    <row r="40" spans="1:6" x14ac:dyDescent="0.25">
      <c r="A40" s="172"/>
      <c r="B40" s="242"/>
      <c r="C40" s="148" t="s">
        <v>117</v>
      </c>
      <c r="F40" s="173"/>
    </row>
    <row r="41" spans="1:6" ht="15.75" thickBot="1" x14ac:dyDescent="0.3">
      <c r="A41" s="172"/>
      <c r="B41" s="242"/>
      <c r="F41" s="173"/>
    </row>
    <row r="42" spans="1:6" ht="15.75" thickBot="1" x14ac:dyDescent="0.3">
      <c r="A42" s="172"/>
      <c r="B42" s="128">
        <v>12</v>
      </c>
      <c r="C42" s="1" t="s">
        <v>118</v>
      </c>
      <c r="D42" s="150">
        <v>0.5</v>
      </c>
      <c r="F42" s="173"/>
    </row>
    <row r="43" spans="1:6" ht="15.75" thickBot="1" x14ac:dyDescent="0.3">
      <c r="A43" s="172"/>
      <c r="B43" s="128">
        <v>13</v>
      </c>
      <c r="C43" s="1" t="s">
        <v>119</v>
      </c>
      <c r="D43" s="157">
        <v>0.01</v>
      </c>
      <c r="F43" s="173"/>
    </row>
    <row r="44" spans="1:6" ht="15.75" thickBot="1" x14ac:dyDescent="0.3">
      <c r="A44" s="172"/>
      <c r="B44" s="128">
        <v>14</v>
      </c>
      <c r="C44" s="1" t="s">
        <v>120</v>
      </c>
      <c r="D44" s="149">
        <v>10</v>
      </c>
      <c r="E44" s="1" t="s">
        <v>121</v>
      </c>
      <c r="F44" s="173"/>
    </row>
    <row r="45" spans="1:6" x14ac:dyDescent="0.25">
      <c r="A45" s="172"/>
      <c r="B45" s="242"/>
      <c r="F45" s="173"/>
    </row>
    <row r="46" spans="1:6" ht="15.75" thickBot="1" x14ac:dyDescent="0.3">
      <c r="A46" s="172"/>
      <c r="B46" s="242"/>
      <c r="C46" s="145" t="s">
        <v>95</v>
      </c>
      <c r="F46" s="173"/>
    </row>
    <row r="47" spans="1:6" ht="15.75" thickBot="1" x14ac:dyDescent="0.3">
      <c r="A47" s="172"/>
      <c r="B47" s="242"/>
      <c r="C47" s="145" t="s">
        <v>122</v>
      </c>
      <c r="D47" s="160">
        <f>D42*D36</f>
        <v>27750</v>
      </c>
      <c r="F47" s="173"/>
    </row>
    <row r="48" spans="1:6" ht="15.75" thickBot="1" x14ac:dyDescent="0.3">
      <c r="A48" s="172"/>
      <c r="B48" s="242"/>
      <c r="C48" s="145" t="s">
        <v>125</v>
      </c>
      <c r="D48" s="154">
        <f>'PPA Cashflow'!B71</f>
        <v>2929.9026242949994</v>
      </c>
      <c r="F48" s="173"/>
    </row>
    <row r="49" spans="1:6" x14ac:dyDescent="0.25">
      <c r="A49" s="172"/>
      <c r="B49" s="242"/>
      <c r="F49" s="173"/>
    </row>
    <row r="50" spans="1:6" x14ac:dyDescent="0.25">
      <c r="A50" s="172"/>
      <c r="B50" s="242"/>
      <c r="C50" s="132" t="s">
        <v>123</v>
      </c>
      <c r="F50" s="173"/>
    </row>
    <row r="51" spans="1:6" ht="15.75" thickBot="1" x14ac:dyDescent="0.3">
      <c r="A51" s="172"/>
      <c r="B51" s="242"/>
      <c r="F51" s="173"/>
    </row>
    <row r="52" spans="1:6" ht="15.75" thickBot="1" x14ac:dyDescent="0.3">
      <c r="A52" s="172"/>
      <c r="B52" s="128">
        <v>15</v>
      </c>
      <c r="C52" s="1" t="s">
        <v>167</v>
      </c>
      <c r="D52" s="161">
        <v>5.0000000000000001E-3</v>
      </c>
      <c r="F52" s="173"/>
    </row>
    <row r="53" spans="1:6" ht="15.75" thickBot="1" x14ac:dyDescent="0.3">
      <c r="A53" s="172"/>
      <c r="B53" s="128">
        <v>16</v>
      </c>
      <c r="C53" s="1" t="s">
        <v>166</v>
      </c>
      <c r="D53" s="143">
        <v>0.01</v>
      </c>
      <c r="F53" s="173"/>
    </row>
    <row r="54" spans="1:6" x14ac:dyDescent="0.25">
      <c r="A54" s="172"/>
      <c r="B54" s="243"/>
      <c r="F54" s="173"/>
    </row>
    <row r="55" spans="1:6" ht="15.75" thickBot="1" x14ac:dyDescent="0.3">
      <c r="A55" s="172"/>
      <c r="F55" s="173"/>
    </row>
    <row r="56" spans="1:6" x14ac:dyDescent="0.25">
      <c r="A56" s="294"/>
      <c r="B56" s="343" t="s">
        <v>126</v>
      </c>
      <c r="C56" s="344"/>
      <c r="D56" s="159"/>
      <c r="E56" s="159"/>
      <c r="F56" s="298"/>
    </row>
    <row r="57" spans="1:6" ht="15.75" thickBot="1" x14ac:dyDescent="0.3">
      <c r="A57" s="294"/>
      <c r="B57" s="345"/>
      <c r="C57" s="346"/>
      <c r="D57" s="159"/>
      <c r="E57" s="159"/>
      <c r="F57" s="298"/>
    </row>
    <row r="58" spans="1:6" x14ac:dyDescent="0.25">
      <c r="A58" s="172"/>
      <c r="F58" s="173"/>
    </row>
    <row r="59" spans="1:6" ht="18.75" x14ac:dyDescent="0.3">
      <c r="A59" s="172"/>
      <c r="B59" s="250" t="s">
        <v>172</v>
      </c>
      <c r="C59" s="251" t="str">
        <f>IF('PPA Cashflow'!B101&lt;PPA!D18, "A Power Purchase Agreement is Possible!", "Power Purchase Agreement not feasible. Please reconsider contract terms.")</f>
        <v>A Power Purchase Agreement is Possible!</v>
      </c>
      <c r="F59" s="173"/>
    </row>
    <row r="60" spans="1:6" ht="19.5" thickBot="1" x14ac:dyDescent="0.35">
      <c r="A60" s="172"/>
      <c r="B60" s="250"/>
      <c r="C60" s="251"/>
      <c r="F60" s="173"/>
    </row>
    <row r="61" spans="1:6" ht="19.5" thickBot="1" x14ac:dyDescent="0.35">
      <c r="A61" s="172"/>
      <c r="B61" s="259" t="str">
        <f>IF('PPA Cashflow'!B101&lt;PPA!D18, "Please Enter a PPA Contract Price", "")</f>
        <v>Please Enter a PPA Contract Price</v>
      </c>
      <c r="C61" s="261">
        <v>6.5000000000000002E-2</v>
      </c>
      <c r="F61" s="173"/>
    </row>
    <row r="62" spans="1:6" ht="18.75" x14ac:dyDescent="0.3">
      <c r="A62" s="172"/>
      <c r="B62" s="249"/>
      <c r="F62" s="173"/>
    </row>
    <row r="63" spans="1:6" ht="15.75" thickBot="1" x14ac:dyDescent="0.3">
      <c r="A63" s="172"/>
      <c r="F63" s="173"/>
    </row>
    <row r="64" spans="1:6" ht="29.25" thickBot="1" x14ac:dyDescent="0.5">
      <c r="A64" s="172"/>
      <c r="B64" s="244" t="s">
        <v>164</v>
      </c>
      <c r="F64" s="173"/>
    </row>
    <row r="65" spans="1:6" x14ac:dyDescent="0.25">
      <c r="A65" s="172"/>
      <c r="F65" s="173"/>
    </row>
    <row r="66" spans="1:6" x14ac:dyDescent="0.25">
      <c r="A66" s="172"/>
      <c r="B66" s="246"/>
      <c r="F66" s="173"/>
    </row>
    <row r="67" spans="1:6" x14ac:dyDescent="0.25">
      <c r="A67" s="172"/>
      <c r="B67" s="246" t="s">
        <v>168</v>
      </c>
      <c r="C67" s="260">
        <f>'PPA Cashflow'!B112</f>
        <v>25849.05732336262</v>
      </c>
      <c r="D67" s="290"/>
      <c r="F67" s="173"/>
    </row>
    <row r="68" spans="1:6" x14ac:dyDescent="0.25">
      <c r="A68" s="172"/>
      <c r="B68" s="246" t="s">
        <v>177</v>
      </c>
      <c r="C68" s="260">
        <f>'PPA Cashflow'!B113</f>
        <v>18142.180987294891</v>
      </c>
      <c r="F68" s="173"/>
    </row>
    <row r="69" spans="1:6" x14ac:dyDescent="0.25">
      <c r="A69" s="172"/>
      <c r="F69" s="173"/>
    </row>
    <row r="70" spans="1:6" ht="15.75" thickBot="1" x14ac:dyDescent="0.3">
      <c r="A70" s="172"/>
      <c r="F70" s="173"/>
    </row>
    <row r="71" spans="1:6" ht="29.25" thickBot="1" x14ac:dyDescent="0.5">
      <c r="A71" s="172"/>
      <c r="B71" s="245" t="s">
        <v>165</v>
      </c>
      <c r="F71" s="173"/>
    </row>
    <row r="72" spans="1:6" x14ac:dyDescent="0.25">
      <c r="A72" s="172"/>
      <c r="F72" s="173"/>
    </row>
    <row r="73" spans="1:6" ht="15.75" thickBot="1" x14ac:dyDescent="0.3">
      <c r="A73" s="172"/>
      <c r="D73" s="236"/>
      <c r="F73" s="173"/>
    </row>
    <row r="74" spans="1:6" x14ac:dyDescent="0.25">
      <c r="A74" s="172"/>
      <c r="B74" s="163" t="s">
        <v>22</v>
      </c>
      <c r="C74" s="264">
        <f>'PPA Cashflow'!B35</f>
        <v>20118.166290391164</v>
      </c>
      <c r="F74" s="173"/>
    </row>
    <row r="75" spans="1:6" x14ac:dyDescent="0.25">
      <c r="A75" s="172"/>
      <c r="B75" s="164" t="s">
        <v>127</v>
      </c>
      <c r="C75" s="265">
        <f>'PPA Cashflow'!B36</f>
        <v>9.5696956560872071E-2</v>
      </c>
      <c r="F75" s="173"/>
    </row>
    <row r="76" spans="1:6" x14ac:dyDescent="0.25">
      <c r="A76" s="172"/>
      <c r="B76" s="165" t="s">
        <v>47</v>
      </c>
      <c r="C76" s="266">
        <f>IF(ISNUMBER('PPA Cashflow'!B38)=FALSE,"Project Payback is More Than 25 Years",'PPA Cashflow'!B38)</f>
        <v>11.183406049591579</v>
      </c>
      <c r="D76" s="262"/>
      <c r="F76" s="173"/>
    </row>
    <row r="77" spans="1:6" ht="15.75" thickBot="1" x14ac:dyDescent="0.3">
      <c r="A77" s="172"/>
      <c r="B77" s="238" t="s">
        <v>51</v>
      </c>
      <c r="C77" s="267">
        <f>IF(ISNUMBER('PPA Cashflow'!B39)= TRUE, 'PPA Cashflow'!B39,"Project Payback is More Than 25 Years")</f>
        <v>12.642825220642218</v>
      </c>
      <c r="D77" s="263"/>
      <c r="F77" s="173"/>
    </row>
    <row r="78" spans="1:6" x14ac:dyDescent="0.25">
      <c r="A78" s="172"/>
      <c r="B78" s="234"/>
      <c r="C78" s="235"/>
      <c r="D78" s="10"/>
      <c r="F78" s="173"/>
    </row>
    <row r="79" spans="1:6" x14ac:dyDescent="0.25">
      <c r="A79" s="172"/>
      <c r="B79" s="236"/>
      <c r="C79" s="237"/>
      <c r="D79" s="274"/>
      <c r="F79" s="173"/>
    </row>
    <row r="80" spans="1:6" x14ac:dyDescent="0.25">
      <c r="A80" s="172"/>
      <c r="B80" s="236"/>
      <c r="C80" s="235"/>
      <c r="D80" s="274"/>
      <c r="F80" s="173"/>
    </row>
    <row r="81" spans="1:6" x14ac:dyDescent="0.25">
      <c r="A81" s="172"/>
      <c r="F81" s="173"/>
    </row>
    <row r="82" spans="1:6" x14ac:dyDescent="0.25">
      <c r="A82" s="172"/>
      <c r="F82" s="173"/>
    </row>
    <row r="83" spans="1:6" x14ac:dyDescent="0.25">
      <c r="A83" s="172"/>
      <c r="F83" s="173"/>
    </row>
    <row r="84" spans="1:6" x14ac:dyDescent="0.25">
      <c r="A84" s="172"/>
      <c r="F84" s="173"/>
    </row>
    <row r="85" spans="1:6" x14ac:dyDescent="0.25">
      <c r="A85" s="172"/>
      <c r="F85" s="173"/>
    </row>
    <row r="86" spans="1:6" x14ac:dyDescent="0.25">
      <c r="A86" s="172"/>
      <c r="F86" s="173"/>
    </row>
    <row r="87" spans="1:6" x14ac:dyDescent="0.25">
      <c r="A87" s="172"/>
      <c r="F87" s="173"/>
    </row>
    <row r="88" spans="1:6" x14ac:dyDescent="0.25">
      <c r="A88" s="172"/>
      <c r="F88" s="173"/>
    </row>
    <row r="89" spans="1:6" x14ac:dyDescent="0.25">
      <c r="A89" s="172"/>
      <c r="F89" s="173"/>
    </row>
    <row r="90" spans="1:6" x14ac:dyDescent="0.25">
      <c r="A90" s="172"/>
      <c r="F90" s="173"/>
    </row>
    <row r="91" spans="1:6" x14ac:dyDescent="0.25">
      <c r="A91" s="172"/>
      <c r="F91" s="173"/>
    </row>
    <row r="92" spans="1:6" x14ac:dyDescent="0.25">
      <c r="A92" s="172"/>
      <c r="F92" s="173"/>
    </row>
    <row r="93" spans="1:6" x14ac:dyDescent="0.25">
      <c r="A93" s="172"/>
      <c r="F93" s="173"/>
    </row>
    <row r="94" spans="1:6" x14ac:dyDescent="0.25">
      <c r="A94" s="172"/>
      <c r="F94" s="173"/>
    </row>
    <row r="95" spans="1:6" x14ac:dyDescent="0.25">
      <c r="A95" s="172"/>
      <c r="F95" s="173"/>
    </row>
    <row r="96" spans="1:6" x14ac:dyDescent="0.25">
      <c r="A96" s="172"/>
      <c r="F96" s="173"/>
    </row>
    <row r="97" spans="1:6" x14ac:dyDescent="0.25">
      <c r="A97" s="172"/>
      <c r="F97" s="173"/>
    </row>
    <row r="98" spans="1:6" x14ac:dyDescent="0.25">
      <c r="A98" s="172"/>
      <c r="F98" s="173"/>
    </row>
    <row r="99" spans="1:6" x14ac:dyDescent="0.25">
      <c r="A99" s="172"/>
      <c r="F99" s="173"/>
    </row>
    <row r="100" spans="1:6" x14ac:dyDescent="0.25">
      <c r="A100" s="172"/>
      <c r="F100" s="173"/>
    </row>
    <row r="101" spans="1:6" x14ac:dyDescent="0.25">
      <c r="A101" s="172"/>
      <c r="F101" s="173"/>
    </row>
    <row r="102" spans="1:6" x14ac:dyDescent="0.25">
      <c r="A102" s="172"/>
      <c r="F102" s="173"/>
    </row>
    <row r="103" spans="1:6" ht="15.75" thickBot="1" x14ac:dyDescent="0.3">
      <c r="A103" s="174"/>
      <c r="B103" s="299"/>
      <c r="C103" s="175"/>
      <c r="D103" s="175"/>
      <c r="E103" s="175"/>
      <c r="F103" s="176"/>
    </row>
    <row r="104" spans="1:6" x14ac:dyDescent="0.25"/>
    <row r="105" spans="1:6" hidden="1" x14ac:dyDescent="0.25">
      <c r="B105" s="190"/>
    </row>
    <row r="106" spans="1:6" hidden="1" x14ac:dyDescent="0.25">
      <c r="B106" s="191"/>
    </row>
  </sheetData>
  <mergeCells count="2">
    <mergeCell ref="B56:C57"/>
    <mergeCell ref="A3:B3"/>
  </mergeCells>
  <conditionalFormatting sqref="C74">
    <cfRule type="cellIs" dxfId="5" priority="5" operator="greaterThan">
      <formula>0.01</formula>
    </cfRule>
    <cfRule type="cellIs" dxfId="4" priority="6" operator="lessThan">
      <formula>0.001</formula>
    </cfRule>
    <cfRule type="colorScale" priority="7">
      <colorScale>
        <cfvo type="formula" val="$C$74&gt;0"/>
        <cfvo type="formula" val="$C$74&lt;0"/>
        <color rgb="FF92D050"/>
        <color rgb="FFFF8587"/>
      </colorScale>
    </cfRule>
  </conditionalFormatting>
  <conditionalFormatting sqref="C78">
    <cfRule type="cellIs" dxfId="3" priority="4" operator="greaterThan">
      <formula>0</formula>
    </cfRule>
  </conditionalFormatting>
  <conditionalFormatting sqref="C79">
    <cfRule type="cellIs" dxfId="2" priority="1" operator="lessThan">
      <formula>0</formula>
    </cfRule>
    <cfRule type="cellIs" dxfId="1" priority="3" operator="greaterThan">
      <formula>0</formula>
    </cfRule>
  </conditionalFormatting>
  <conditionalFormatting sqref="C80">
    <cfRule type="cellIs" dxfId="0" priority="2" operator="greaterThan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Inputs!$B$4:$B$21</xm:f>
          </x14:formula1>
          <xm:sqref>C3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110"/>
  <sheetViews>
    <sheetView zoomScale="50" zoomScaleNormal="50" zoomScalePageLayoutView="181" workbookViewId="0">
      <pane xSplit="1" topLeftCell="B1" activePane="topRight" state="frozen"/>
      <selection pane="topRight" activeCell="V43" sqref="V43"/>
    </sheetView>
  </sheetViews>
  <sheetFormatPr defaultColWidth="9.28515625" defaultRowHeight="15" x14ac:dyDescent="0.25"/>
  <cols>
    <col min="1" max="1" width="42.28515625" style="10" customWidth="1"/>
    <col min="2" max="2" width="16.7109375" style="10" customWidth="1"/>
    <col min="3" max="3" width="21.85546875" style="10" customWidth="1"/>
    <col min="4" max="4" width="13.7109375" style="10" bestFit="1" customWidth="1"/>
    <col min="5" max="5" width="17" style="10" customWidth="1"/>
    <col min="6" max="6" width="14.42578125" style="10" customWidth="1"/>
    <col min="7" max="7" width="15.42578125" style="10" customWidth="1"/>
    <col min="8" max="8" width="16.42578125" style="10" customWidth="1"/>
    <col min="9" max="9" width="15.42578125" style="10" customWidth="1"/>
    <col min="10" max="10" width="19" style="10" customWidth="1"/>
    <col min="11" max="22" width="13.7109375" style="10" bestFit="1" customWidth="1"/>
    <col min="23" max="27" width="13" style="10" bestFit="1" customWidth="1"/>
    <col min="28" max="16384" width="9.28515625" style="10"/>
  </cols>
  <sheetData>
    <row r="1" spans="1:27" ht="21" x14ac:dyDescent="0.35">
      <c r="D1" s="48" t="s">
        <v>48</v>
      </c>
      <c r="E1" s="356" t="s">
        <v>19</v>
      </c>
      <c r="F1" s="357"/>
      <c r="G1" s="357"/>
      <c r="H1" s="357"/>
      <c r="I1" s="357"/>
      <c r="J1" s="357"/>
    </row>
    <row r="2" spans="1:27" ht="15.75" thickBot="1" x14ac:dyDescent="0.3"/>
    <row r="3" spans="1:27" ht="15.75" thickBot="1" x14ac:dyDescent="0.3">
      <c r="A3" s="99" t="s">
        <v>71</v>
      </c>
    </row>
    <row r="4" spans="1:27" x14ac:dyDescent="0.25">
      <c r="A4" s="61" t="s">
        <v>18</v>
      </c>
      <c r="B4" s="62">
        <v>0</v>
      </c>
      <c r="C4" s="62">
        <v>1</v>
      </c>
      <c r="D4" s="62">
        <v>2</v>
      </c>
      <c r="E4" s="62">
        <v>3</v>
      </c>
      <c r="F4" s="62">
        <v>4</v>
      </c>
      <c r="G4" s="62">
        <v>5</v>
      </c>
      <c r="H4" s="62">
        <v>6</v>
      </c>
      <c r="I4" s="62">
        <v>7</v>
      </c>
      <c r="J4" s="62">
        <v>8</v>
      </c>
      <c r="K4" s="62">
        <v>9</v>
      </c>
      <c r="L4" s="62">
        <v>10</v>
      </c>
      <c r="M4" s="62">
        <v>11</v>
      </c>
      <c r="N4" s="62">
        <v>12</v>
      </c>
      <c r="O4" s="62">
        <v>13</v>
      </c>
      <c r="P4" s="62">
        <v>14</v>
      </c>
      <c r="Q4" s="62">
        <v>15</v>
      </c>
      <c r="R4" s="62">
        <v>16</v>
      </c>
      <c r="S4" s="62">
        <v>17</v>
      </c>
      <c r="T4" s="62">
        <v>18</v>
      </c>
      <c r="U4" s="62">
        <v>19</v>
      </c>
      <c r="V4" s="62">
        <v>20</v>
      </c>
      <c r="W4" s="62">
        <v>21</v>
      </c>
      <c r="X4" s="62">
        <v>22</v>
      </c>
      <c r="Y4" s="62">
        <v>23</v>
      </c>
      <c r="Z4" s="62">
        <v>24</v>
      </c>
      <c r="AA4" s="63">
        <v>25</v>
      </c>
    </row>
    <row r="5" spans="1:27" x14ac:dyDescent="0.25">
      <c r="A5" s="97" t="s">
        <v>75</v>
      </c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64"/>
    </row>
    <row r="6" spans="1:27" x14ac:dyDescent="0.25">
      <c r="A6" s="78" t="s">
        <v>26</v>
      </c>
      <c r="B6" s="40">
        <v>0</v>
      </c>
      <c r="C6" s="40">
        <f t="shared" ref="C6:AA6" si="0">-$B$55</f>
        <v>-800</v>
      </c>
      <c r="D6" s="40">
        <f t="shared" si="0"/>
        <v>-800</v>
      </c>
      <c r="E6" s="40">
        <f t="shared" si="0"/>
        <v>-800</v>
      </c>
      <c r="F6" s="40">
        <f t="shared" si="0"/>
        <v>-800</v>
      </c>
      <c r="G6" s="40">
        <f t="shared" si="0"/>
        <v>-800</v>
      </c>
      <c r="H6" s="40">
        <f t="shared" si="0"/>
        <v>-800</v>
      </c>
      <c r="I6" s="40">
        <f t="shared" si="0"/>
        <v>-800</v>
      </c>
      <c r="J6" s="40">
        <f t="shared" si="0"/>
        <v>-800</v>
      </c>
      <c r="K6" s="40">
        <f t="shared" si="0"/>
        <v>-800</v>
      </c>
      <c r="L6" s="40">
        <f t="shared" si="0"/>
        <v>-800</v>
      </c>
      <c r="M6" s="40">
        <f t="shared" si="0"/>
        <v>-800</v>
      </c>
      <c r="N6" s="40">
        <f t="shared" si="0"/>
        <v>-800</v>
      </c>
      <c r="O6" s="40">
        <f t="shared" si="0"/>
        <v>-800</v>
      </c>
      <c r="P6" s="40">
        <f t="shared" si="0"/>
        <v>-800</v>
      </c>
      <c r="Q6" s="40">
        <f t="shared" si="0"/>
        <v>-800</v>
      </c>
      <c r="R6" s="40">
        <f t="shared" si="0"/>
        <v>-800</v>
      </c>
      <c r="S6" s="40">
        <f t="shared" si="0"/>
        <v>-800</v>
      </c>
      <c r="T6" s="40">
        <f t="shared" si="0"/>
        <v>-800</v>
      </c>
      <c r="U6" s="40">
        <f t="shared" si="0"/>
        <v>-800</v>
      </c>
      <c r="V6" s="40">
        <f t="shared" si="0"/>
        <v>-800</v>
      </c>
      <c r="W6" s="40">
        <f t="shared" si="0"/>
        <v>-800</v>
      </c>
      <c r="X6" s="40">
        <f t="shared" si="0"/>
        <v>-800</v>
      </c>
      <c r="Y6" s="40">
        <f t="shared" si="0"/>
        <v>-800</v>
      </c>
      <c r="Z6" s="40">
        <f t="shared" si="0"/>
        <v>-800</v>
      </c>
      <c r="AA6" s="65">
        <f t="shared" si="0"/>
        <v>-800</v>
      </c>
    </row>
    <row r="7" spans="1:27" x14ac:dyDescent="0.25">
      <c r="A7" s="78" t="s">
        <v>56</v>
      </c>
      <c r="B7" s="40">
        <f>-B49</f>
        <v>0</v>
      </c>
      <c r="C7" s="40">
        <v>0</v>
      </c>
      <c r="D7" s="40">
        <v>0</v>
      </c>
      <c r="E7" s="40">
        <v>0</v>
      </c>
      <c r="F7" s="40">
        <v>0</v>
      </c>
      <c r="G7" s="40">
        <v>0</v>
      </c>
      <c r="H7" s="40">
        <v>0</v>
      </c>
      <c r="I7" s="40">
        <v>0</v>
      </c>
      <c r="J7" s="40">
        <v>0</v>
      </c>
      <c r="K7" s="40">
        <v>0</v>
      </c>
      <c r="L7" s="40">
        <v>0</v>
      </c>
      <c r="M7" s="40">
        <v>0</v>
      </c>
      <c r="N7" s="40">
        <v>0</v>
      </c>
      <c r="O7" s="40">
        <v>0</v>
      </c>
      <c r="P7" s="40">
        <v>0</v>
      </c>
      <c r="Q7" s="40">
        <v>0</v>
      </c>
      <c r="R7" s="40">
        <v>0</v>
      </c>
      <c r="S7" s="40">
        <v>0</v>
      </c>
      <c r="T7" s="40">
        <v>0</v>
      </c>
      <c r="U7" s="40">
        <v>0</v>
      </c>
      <c r="V7" s="40">
        <v>0</v>
      </c>
      <c r="W7" s="40">
        <v>0</v>
      </c>
      <c r="X7" s="40">
        <v>0</v>
      </c>
      <c r="Y7" s="40">
        <v>0</v>
      </c>
      <c r="Z7" s="40">
        <v>0</v>
      </c>
      <c r="AA7" s="65">
        <v>0</v>
      </c>
    </row>
    <row r="8" spans="1:27" ht="15.75" thickBot="1" x14ac:dyDescent="0.3">
      <c r="A8" s="100" t="s">
        <v>28</v>
      </c>
      <c r="B8" s="93">
        <f t="shared" ref="B8:AA8" si="1">SUM(B6:B7)</f>
        <v>0</v>
      </c>
      <c r="C8" s="94">
        <f t="shared" si="1"/>
        <v>-800</v>
      </c>
      <c r="D8" s="94">
        <f t="shared" si="1"/>
        <v>-800</v>
      </c>
      <c r="E8" s="94">
        <f t="shared" si="1"/>
        <v>-800</v>
      </c>
      <c r="F8" s="94">
        <f t="shared" si="1"/>
        <v>-800</v>
      </c>
      <c r="G8" s="94">
        <f t="shared" si="1"/>
        <v>-800</v>
      </c>
      <c r="H8" s="94">
        <f t="shared" si="1"/>
        <v>-800</v>
      </c>
      <c r="I8" s="94">
        <f t="shared" si="1"/>
        <v>-800</v>
      </c>
      <c r="J8" s="94">
        <f t="shared" si="1"/>
        <v>-800</v>
      </c>
      <c r="K8" s="94">
        <f t="shared" si="1"/>
        <v>-800</v>
      </c>
      <c r="L8" s="94">
        <f t="shared" si="1"/>
        <v>-800</v>
      </c>
      <c r="M8" s="94">
        <f t="shared" si="1"/>
        <v>-800</v>
      </c>
      <c r="N8" s="94">
        <f t="shared" si="1"/>
        <v>-800</v>
      </c>
      <c r="O8" s="94">
        <f t="shared" si="1"/>
        <v>-800</v>
      </c>
      <c r="P8" s="94">
        <f t="shared" si="1"/>
        <v>-800</v>
      </c>
      <c r="Q8" s="94">
        <f t="shared" si="1"/>
        <v>-800</v>
      </c>
      <c r="R8" s="94">
        <f t="shared" si="1"/>
        <v>-800</v>
      </c>
      <c r="S8" s="94">
        <f t="shared" si="1"/>
        <v>-800</v>
      </c>
      <c r="T8" s="94">
        <f t="shared" si="1"/>
        <v>-800</v>
      </c>
      <c r="U8" s="94">
        <f t="shared" si="1"/>
        <v>-800</v>
      </c>
      <c r="V8" s="94">
        <f t="shared" si="1"/>
        <v>-800</v>
      </c>
      <c r="W8" s="94">
        <f t="shared" si="1"/>
        <v>-800</v>
      </c>
      <c r="X8" s="94">
        <f t="shared" si="1"/>
        <v>-800</v>
      </c>
      <c r="Y8" s="94">
        <f t="shared" si="1"/>
        <v>-800</v>
      </c>
      <c r="Z8" s="94">
        <f t="shared" si="1"/>
        <v>-800</v>
      </c>
      <c r="AA8" s="95">
        <f t="shared" si="1"/>
        <v>-800</v>
      </c>
    </row>
    <row r="9" spans="1:27" x14ac:dyDescent="0.25">
      <c r="A9" s="103" t="s">
        <v>20</v>
      </c>
      <c r="B9" s="104"/>
      <c r="C9" s="104"/>
      <c r="D9" s="104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5"/>
    </row>
    <row r="10" spans="1:27" x14ac:dyDescent="0.25">
      <c r="A10" s="96" t="s">
        <v>85</v>
      </c>
      <c r="B10" s="109"/>
      <c r="C10" s="110">
        <f>-B83*$B$54</f>
        <v>0</v>
      </c>
      <c r="D10" s="110">
        <f>-B84*B54</f>
        <v>0</v>
      </c>
      <c r="E10" s="110">
        <f>-B85*B54</f>
        <v>0</v>
      </c>
      <c r="F10" s="110">
        <f>-B86*B54</f>
        <v>0</v>
      </c>
      <c r="G10" s="110">
        <f>-B87*B54</f>
        <v>0</v>
      </c>
      <c r="H10" s="110">
        <f>-B88*B54</f>
        <v>0</v>
      </c>
      <c r="I10" s="109"/>
      <c r="J10" s="109"/>
      <c r="K10" s="109"/>
      <c r="L10" s="109"/>
      <c r="M10" s="109"/>
      <c r="N10" s="109"/>
      <c r="O10" s="109"/>
      <c r="P10" s="109"/>
      <c r="Q10" s="109"/>
      <c r="R10" s="109"/>
      <c r="S10" s="109"/>
      <c r="T10" s="109"/>
      <c r="U10" s="109"/>
      <c r="V10" s="109"/>
      <c r="W10" s="109"/>
      <c r="X10" s="109"/>
      <c r="Y10" s="109"/>
      <c r="Z10" s="109"/>
      <c r="AA10" s="111"/>
    </row>
    <row r="11" spans="1:27" x14ac:dyDescent="0.25">
      <c r="A11" s="78" t="s">
        <v>32</v>
      </c>
      <c r="B11" s="41">
        <v>0</v>
      </c>
      <c r="C11" s="41">
        <f>$B$45*$B$47</f>
        <v>1819.5006667348002</v>
      </c>
      <c r="D11" s="41">
        <f t="shared" ref="D11:AA11" si="2">C11*(1-$B$56)</f>
        <v>1810.4031634011262</v>
      </c>
      <c r="E11" s="41">
        <f t="shared" si="2"/>
        <v>1801.3511475841206</v>
      </c>
      <c r="F11" s="41">
        <f t="shared" si="2"/>
        <v>1792.3443918461999</v>
      </c>
      <c r="G11" s="41">
        <f t="shared" si="2"/>
        <v>1783.3826698869689</v>
      </c>
      <c r="H11" s="41">
        <f t="shared" si="2"/>
        <v>1774.4657565375339</v>
      </c>
      <c r="I11" s="41">
        <f t="shared" si="2"/>
        <v>1765.5934277548463</v>
      </c>
      <c r="J11" s="41">
        <f t="shared" si="2"/>
        <v>1756.765460616072</v>
      </c>
      <c r="K11" s="41">
        <f t="shared" si="2"/>
        <v>1747.9816333129916</v>
      </c>
      <c r="L11" s="41">
        <f t="shared" si="2"/>
        <v>1739.2417251464267</v>
      </c>
      <c r="M11" s="41">
        <f t="shared" si="2"/>
        <v>1730.5455165206945</v>
      </c>
      <c r="N11" s="41">
        <f t="shared" si="2"/>
        <v>1721.8927889380909</v>
      </c>
      <c r="O11" s="41">
        <f t="shared" si="2"/>
        <v>1713.2833249934004</v>
      </c>
      <c r="P11" s="41">
        <f t="shared" si="2"/>
        <v>1704.7169083684335</v>
      </c>
      <c r="Q11" s="41">
        <f t="shared" si="2"/>
        <v>1696.1933238265913</v>
      </c>
      <c r="R11" s="41">
        <f t="shared" si="2"/>
        <v>1687.7123572074584</v>
      </c>
      <c r="S11" s="41">
        <f t="shared" si="2"/>
        <v>1679.273795421421</v>
      </c>
      <c r="T11" s="41">
        <f t="shared" si="2"/>
        <v>1670.8774264443139</v>
      </c>
      <c r="U11" s="41">
        <f t="shared" si="2"/>
        <v>1662.5230393120924</v>
      </c>
      <c r="V11" s="41">
        <f t="shared" si="2"/>
        <v>1654.2104241155319</v>
      </c>
      <c r="W11" s="41">
        <f t="shared" si="2"/>
        <v>1645.9393719949542</v>
      </c>
      <c r="X11" s="41">
        <f t="shared" si="2"/>
        <v>1637.7096751349793</v>
      </c>
      <c r="Y11" s="41">
        <f t="shared" si="2"/>
        <v>1629.5211267593045</v>
      </c>
      <c r="Z11" s="41">
        <f t="shared" si="2"/>
        <v>1621.373521125508</v>
      </c>
      <c r="AA11" s="66">
        <f t="shared" si="2"/>
        <v>1613.2666535198805</v>
      </c>
    </row>
    <row r="12" spans="1:27" x14ac:dyDescent="0.25">
      <c r="A12" s="78" t="s">
        <v>33</v>
      </c>
      <c r="B12" s="41">
        <v>0</v>
      </c>
      <c r="C12" s="41">
        <f>($B$44/1000)*$B$57</f>
        <v>487.62</v>
      </c>
      <c r="D12" s="41">
        <f t="shared" ref="D12:AA12" si="3">($B$44/1000)*$B$57</f>
        <v>487.62</v>
      </c>
      <c r="E12" s="41">
        <f t="shared" si="3"/>
        <v>487.62</v>
      </c>
      <c r="F12" s="41">
        <f t="shared" si="3"/>
        <v>487.62</v>
      </c>
      <c r="G12" s="41">
        <f t="shared" si="3"/>
        <v>487.62</v>
      </c>
      <c r="H12" s="41">
        <f t="shared" si="3"/>
        <v>487.62</v>
      </c>
      <c r="I12" s="41">
        <f t="shared" si="3"/>
        <v>487.62</v>
      </c>
      <c r="J12" s="41">
        <f t="shared" si="3"/>
        <v>487.62</v>
      </c>
      <c r="K12" s="41">
        <f t="shared" si="3"/>
        <v>487.62</v>
      </c>
      <c r="L12" s="41">
        <f t="shared" si="3"/>
        <v>487.62</v>
      </c>
      <c r="M12" s="41">
        <f t="shared" si="3"/>
        <v>487.62</v>
      </c>
      <c r="N12" s="41">
        <f t="shared" si="3"/>
        <v>487.62</v>
      </c>
      <c r="O12" s="41">
        <f t="shared" si="3"/>
        <v>487.62</v>
      </c>
      <c r="P12" s="41">
        <f t="shared" si="3"/>
        <v>487.62</v>
      </c>
      <c r="Q12" s="41">
        <f t="shared" si="3"/>
        <v>487.62</v>
      </c>
      <c r="R12" s="41">
        <f t="shared" si="3"/>
        <v>487.62</v>
      </c>
      <c r="S12" s="41">
        <f t="shared" si="3"/>
        <v>487.62</v>
      </c>
      <c r="T12" s="41">
        <f t="shared" si="3"/>
        <v>487.62</v>
      </c>
      <c r="U12" s="41">
        <f t="shared" si="3"/>
        <v>487.62</v>
      </c>
      <c r="V12" s="41">
        <f t="shared" si="3"/>
        <v>487.62</v>
      </c>
      <c r="W12" s="41">
        <f t="shared" si="3"/>
        <v>487.62</v>
      </c>
      <c r="X12" s="41">
        <f t="shared" si="3"/>
        <v>487.62</v>
      </c>
      <c r="Y12" s="41">
        <f t="shared" si="3"/>
        <v>487.62</v>
      </c>
      <c r="Z12" s="41">
        <f t="shared" si="3"/>
        <v>487.62</v>
      </c>
      <c r="AA12" s="66">
        <f t="shared" si="3"/>
        <v>487.62</v>
      </c>
    </row>
    <row r="13" spans="1:27" x14ac:dyDescent="0.25">
      <c r="A13" s="78" t="s">
        <v>21</v>
      </c>
      <c r="B13" s="40">
        <v>0</v>
      </c>
      <c r="C13" s="40">
        <f>$B$44*$B$46</f>
        <v>6068.16</v>
      </c>
      <c r="D13" s="40">
        <f>C13*(1-0.005)</f>
        <v>6037.8191999999999</v>
      </c>
      <c r="E13" s="40">
        <f t="shared" ref="E13:AA13" si="4">D13*(1-0.005)</f>
        <v>6007.6301039999998</v>
      </c>
      <c r="F13" s="40">
        <f t="shared" si="4"/>
        <v>5977.5919534799996</v>
      </c>
      <c r="G13" s="40">
        <f t="shared" si="4"/>
        <v>5947.7039937125992</v>
      </c>
      <c r="H13" s="40">
        <f t="shared" si="4"/>
        <v>5917.965473744036</v>
      </c>
      <c r="I13" s="40">
        <f t="shared" si="4"/>
        <v>5888.3756463753161</v>
      </c>
      <c r="J13" s="40">
        <f t="shared" si="4"/>
        <v>5858.9337681434399</v>
      </c>
      <c r="K13" s="40">
        <f t="shared" si="4"/>
        <v>5829.6390993027226</v>
      </c>
      <c r="L13" s="40">
        <f t="shared" si="4"/>
        <v>5800.4909038062087</v>
      </c>
      <c r="M13" s="40">
        <f t="shared" si="4"/>
        <v>5771.4884492871779</v>
      </c>
      <c r="N13" s="40">
        <f t="shared" si="4"/>
        <v>5742.6310070407417</v>
      </c>
      <c r="O13" s="40">
        <f t="shared" si="4"/>
        <v>5713.9178520055375</v>
      </c>
      <c r="P13" s="40">
        <f t="shared" si="4"/>
        <v>5685.3482627455096</v>
      </c>
      <c r="Q13" s="40">
        <f t="shared" si="4"/>
        <v>5656.9215214317819</v>
      </c>
      <c r="R13" s="40">
        <f t="shared" si="4"/>
        <v>5628.6369138246228</v>
      </c>
      <c r="S13" s="40">
        <f t="shared" si="4"/>
        <v>5600.4937292554996</v>
      </c>
      <c r="T13" s="40">
        <f t="shared" si="4"/>
        <v>5572.4912606092221</v>
      </c>
      <c r="U13" s="40">
        <f t="shared" si="4"/>
        <v>5544.6288043061759</v>
      </c>
      <c r="V13" s="40">
        <f t="shared" si="4"/>
        <v>5516.9056602846449</v>
      </c>
      <c r="W13" s="40">
        <f t="shared" si="4"/>
        <v>5489.3211319832217</v>
      </c>
      <c r="X13" s="40">
        <f t="shared" si="4"/>
        <v>5461.8745263233059</v>
      </c>
      <c r="Y13" s="40">
        <f t="shared" si="4"/>
        <v>5434.5651536916894</v>
      </c>
      <c r="Z13" s="40">
        <f t="shared" si="4"/>
        <v>5407.3923279232313</v>
      </c>
      <c r="AA13" s="65">
        <f t="shared" si="4"/>
        <v>5380.3553662836148</v>
      </c>
    </row>
    <row r="14" spans="1:27" x14ac:dyDescent="0.25">
      <c r="A14" s="78" t="s">
        <v>0</v>
      </c>
      <c r="B14" s="40">
        <v>0</v>
      </c>
      <c r="C14" s="40">
        <v>0</v>
      </c>
      <c r="D14" s="40">
        <v>0</v>
      </c>
      <c r="E14" s="40">
        <v>0</v>
      </c>
      <c r="F14" s="40">
        <v>0</v>
      </c>
      <c r="G14" s="40">
        <v>0</v>
      </c>
      <c r="H14" s="40">
        <v>0</v>
      </c>
      <c r="I14" s="40">
        <v>0</v>
      </c>
      <c r="J14" s="40">
        <v>0</v>
      </c>
      <c r="K14" s="40">
        <v>0</v>
      </c>
      <c r="L14" s="40">
        <v>0</v>
      </c>
      <c r="M14" s="40">
        <v>0</v>
      </c>
      <c r="N14" s="40">
        <v>0</v>
      </c>
      <c r="O14" s="40">
        <v>0</v>
      </c>
      <c r="P14" s="40">
        <v>0</v>
      </c>
      <c r="Q14" s="40">
        <v>0</v>
      </c>
      <c r="R14" s="40">
        <v>0</v>
      </c>
      <c r="S14" s="40">
        <v>0</v>
      </c>
      <c r="T14" s="40">
        <v>0</v>
      </c>
      <c r="U14" s="40">
        <v>0</v>
      </c>
      <c r="V14" s="40">
        <v>0</v>
      </c>
      <c r="W14" s="40">
        <v>0</v>
      </c>
      <c r="X14" s="40">
        <v>0</v>
      </c>
      <c r="Y14" s="40">
        <v>0</v>
      </c>
      <c r="Z14" s="40">
        <v>0</v>
      </c>
      <c r="AA14" s="65">
        <v>0</v>
      </c>
    </row>
    <row r="15" spans="1:27" x14ac:dyDescent="0.25">
      <c r="A15" s="98" t="s">
        <v>76</v>
      </c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67"/>
    </row>
    <row r="16" spans="1:27" s="1" customFormat="1" x14ac:dyDescent="0.25">
      <c r="A16" s="96" t="s">
        <v>79</v>
      </c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65">
        <v>0</v>
      </c>
    </row>
    <row r="17" spans="1:27" ht="15.75" thickBot="1" x14ac:dyDescent="0.3">
      <c r="A17" s="90" t="s">
        <v>91</v>
      </c>
      <c r="B17" s="94">
        <v>0</v>
      </c>
      <c r="C17" s="94">
        <f t="shared" ref="C17:AA17" si="5">-B75</f>
        <v>0</v>
      </c>
      <c r="D17" s="94">
        <f t="shared" si="5"/>
        <v>0</v>
      </c>
      <c r="E17" s="94">
        <f t="shared" si="5"/>
        <v>0</v>
      </c>
      <c r="F17" s="94">
        <f t="shared" si="5"/>
        <v>0</v>
      </c>
      <c r="G17" s="94">
        <f t="shared" si="5"/>
        <v>0</v>
      </c>
      <c r="H17" s="94">
        <f t="shared" si="5"/>
        <v>0</v>
      </c>
      <c r="I17" s="94">
        <f t="shared" si="5"/>
        <v>0</v>
      </c>
      <c r="J17" s="94">
        <f t="shared" si="5"/>
        <v>0</v>
      </c>
      <c r="K17" s="94">
        <f t="shared" si="5"/>
        <v>0</v>
      </c>
      <c r="L17" s="94">
        <f t="shared" si="5"/>
        <v>0</v>
      </c>
      <c r="M17" s="94">
        <f t="shared" si="5"/>
        <v>0</v>
      </c>
      <c r="N17" s="94">
        <f t="shared" si="5"/>
        <v>0</v>
      </c>
      <c r="O17" s="94">
        <f t="shared" si="5"/>
        <v>0</v>
      </c>
      <c r="P17" s="94">
        <f t="shared" si="5"/>
        <v>0</v>
      </c>
      <c r="Q17" s="94">
        <f t="shared" si="5"/>
        <v>0</v>
      </c>
      <c r="R17" s="94">
        <f t="shared" si="5"/>
        <v>0</v>
      </c>
      <c r="S17" s="94">
        <f t="shared" si="5"/>
        <v>0</v>
      </c>
      <c r="T17" s="94">
        <f t="shared" si="5"/>
        <v>0</v>
      </c>
      <c r="U17" s="94">
        <f t="shared" si="5"/>
        <v>0</v>
      </c>
      <c r="V17" s="94">
        <f t="shared" si="5"/>
        <v>0</v>
      </c>
      <c r="W17" s="94">
        <f t="shared" si="5"/>
        <v>0</v>
      </c>
      <c r="X17" s="94">
        <f t="shared" si="5"/>
        <v>0</v>
      </c>
      <c r="Y17" s="94">
        <f t="shared" si="5"/>
        <v>0</v>
      </c>
      <c r="Z17" s="94">
        <f t="shared" si="5"/>
        <v>0</v>
      </c>
      <c r="AA17" s="95">
        <f t="shared" si="5"/>
        <v>0</v>
      </c>
    </row>
    <row r="18" spans="1:27" x14ac:dyDescent="0.25">
      <c r="A18" s="119" t="s">
        <v>72</v>
      </c>
      <c r="B18" s="42">
        <f>SUM(B8:B17)</f>
        <v>0</v>
      </c>
      <c r="C18" s="42">
        <f>SUM(C8:C17)</f>
        <v>7575.2806667347995</v>
      </c>
      <c r="D18" s="42">
        <f t="shared" ref="D18:AA18" si="6">SUM(D8:D17)</f>
        <v>7535.842363401126</v>
      </c>
      <c r="E18" s="42">
        <f t="shared" si="6"/>
        <v>7496.6012515841203</v>
      </c>
      <c r="F18" s="42">
        <f t="shared" si="6"/>
        <v>7457.5563453261993</v>
      </c>
      <c r="G18" s="42">
        <f t="shared" si="6"/>
        <v>7418.7066635995679</v>
      </c>
      <c r="H18" s="42">
        <f t="shared" si="6"/>
        <v>7380.0512302815696</v>
      </c>
      <c r="I18" s="42">
        <f t="shared" si="6"/>
        <v>7341.5890741301628</v>
      </c>
      <c r="J18" s="42">
        <f t="shared" si="6"/>
        <v>7303.319228759512</v>
      </c>
      <c r="K18" s="42">
        <f t="shared" si="6"/>
        <v>7265.2407326157136</v>
      </c>
      <c r="L18" s="42">
        <f t="shared" si="6"/>
        <v>7227.3526289526353</v>
      </c>
      <c r="M18" s="42">
        <f t="shared" si="6"/>
        <v>7189.6539658078727</v>
      </c>
      <c r="N18" s="42">
        <f t="shared" si="6"/>
        <v>7152.1437959788327</v>
      </c>
      <c r="O18" s="42">
        <f t="shared" si="6"/>
        <v>7114.8211769989375</v>
      </c>
      <c r="P18" s="42">
        <f t="shared" si="6"/>
        <v>7077.6851711139425</v>
      </c>
      <c r="Q18" s="42">
        <f t="shared" si="6"/>
        <v>7040.7348452583738</v>
      </c>
      <c r="R18" s="42">
        <f t="shared" si="6"/>
        <v>7003.9692710320815</v>
      </c>
      <c r="S18" s="42">
        <f t="shared" si="6"/>
        <v>6967.3875246769203</v>
      </c>
      <c r="T18" s="42">
        <f t="shared" si="6"/>
        <v>6930.9886870535356</v>
      </c>
      <c r="U18" s="42">
        <f t="shared" si="6"/>
        <v>6894.7718436182677</v>
      </c>
      <c r="V18" s="42">
        <f t="shared" si="6"/>
        <v>6858.7360844001769</v>
      </c>
      <c r="W18" s="42">
        <f t="shared" si="6"/>
        <v>6822.8805039781764</v>
      </c>
      <c r="X18" s="42">
        <f t="shared" si="6"/>
        <v>6787.2042014582858</v>
      </c>
      <c r="Y18" s="42">
        <f t="shared" si="6"/>
        <v>6751.7062804509933</v>
      </c>
      <c r="Z18" s="42">
        <f t="shared" si="6"/>
        <v>6716.3858490487391</v>
      </c>
      <c r="AA18" s="106">
        <f t="shared" si="6"/>
        <v>6681.2420198034952</v>
      </c>
    </row>
    <row r="19" spans="1:27" ht="15.75" thickBot="1" x14ac:dyDescent="0.3">
      <c r="A19" s="102" t="s">
        <v>73</v>
      </c>
      <c r="B19" s="91">
        <f t="shared" ref="B19:AA19" si="7">-$B$58*B18</f>
        <v>0</v>
      </c>
      <c r="C19" s="91">
        <f t="shared" si="7"/>
        <v>0</v>
      </c>
      <c r="D19" s="91">
        <f t="shared" si="7"/>
        <v>0</v>
      </c>
      <c r="E19" s="91">
        <f t="shared" si="7"/>
        <v>0</v>
      </c>
      <c r="F19" s="91">
        <f t="shared" si="7"/>
        <v>0</v>
      </c>
      <c r="G19" s="91">
        <f t="shared" si="7"/>
        <v>0</v>
      </c>
      <c r="H19" s="91">
        <f t="shared" si="7"/>
        <v>0</v>
      </c>
      <c r="I19" s="91">
        <f t="shared" si="7"/>
        <v>0</v>
      </c>
      <c r="J19" s="91">
        <f t="shared" si="7"/>
        <v>0</v>
      </c>
      <c r="K19" s="91">
        <f t="shared" si="7"/>
        <v>0</v>
      </c>
      <c r="L19" s="91">
        <f t="shared" si="7"/>
        <v>0</v>
      </c>
      <c r="M19" s="91">
        <f t="shared" si="7"/>
        <v>0</v>
      </c>
      <c r="N19" s="91">
        <f t="shared" si="7"/>
        <v>0</v>
      </c>
      <c r="O19" s="91">
        <f t="shared" si="7"/>
        <v>0</v>
      </c>
      <c r="P19" s="91">
        <f t="shared" si="7"/>
        <v>0</v>
      </c>
      <c r="Q19" s="91">
        <f t="shared" si="7"/>
        <v>0</v>
      </c>
      <c r="R19" s="91">
        <f t="shared" si="7"/>
        <v>0</v>
      </c>
      <c r="S19" s="91">
        <f t="shared" si="7"/>
        <v>0</v>
      </c>
      <c r="T19" s="91">
        <f t="shared" si="7"/>
        <v>0</v>
      </c>
      <c r="U19" s="91">
        <f t="shared" si="7"/>
        <v>0</v>
      </c>
      <c r="V19" s="91">
        <f t="shared" si="7"/>
        <v>0</v>
      </c>
      <c r="W19" s="91">
        <f t="shared" si="7"/>
        <v>0</v>
      </c>
      <c r="X19" s="91">
        <f t="shared" si="7"/>
        <v>0</v>
      </c>
      <c r="Y19" s="91">
        <f t="shared" si="7"/>
        <v>0</v>
      </c>
      <c r="Z19" s="91">
        <f t="shared" si="7"/>
        <v>0</v>
      </c>
      <c r="AA19" s="107">
        <f t="shared" si="7"/>
        <v>0</v>
      </c>
    </row>
    <row r="20" spans="1:27" ht="15.75" thickBot="1" x14ac:dyDescent="0.3">
      <c r="A20" s="120" t="s">
        <v>90</v>
      </c>
      <c r="B20" s="121">
        <f t="shared" ref="B20:AA20" si="8">B18+B19</f>
        <v>0</v>
      </c>
      <c r="C20" s="121">
        <f t="shared" si="8"/>
        <v>7575.2806667347995</v>
      </c>
      <c r="D20" s="121">
        <f t="shared" si="8"/>
        <v>7535.842363401126</v>
      </c>
      <c r="E20" s="121">
        <f t="shared" si="8"/>
        <v>7496.6012515841203</v>
      </c>
      <c r="F20" s="121">
        <f t="shared" si="8"/>
        <v>7457.5563453261993</v>
      </c>
      <c r="G20" s="121">
        <f t="shared" si="8"/>
        <v>7418.7066635995679</v>
      </c>
      <c r="H20" s="121">
        <f t="shared" si="8"/>
        <v>7380.0512302815696</v>
      </c>
      <c r="I20" s="121">
        <f t="shared" si="8"/>
        <v>7341.5890741301628</v>
      </c>
      <c r="J20" s="121">
        <f t="shared" si="8"/>
        <v>7303.319228759512</v>
      </c>
      <c r="K20" s="121">
        <f t="shared" si="8"/>
        <v>7265.2407326157136</v>
      </c>
      <c r="L20" s="121">
        <f t="shared" si="8"/>
        <v>7227.3526289526353</v>
      </c>
      <c r="M20" s="121">
        <f t="shared" si="8"/>
        <v>7189.6539658078727</v>
      </c>
      <c r="N20" s="121">
        <f t="shared" si="8"/>
        <v>7152.1437959788327</v>
      </c>
      <c r="O20" s="121">
        <f t="shared" si="8"/>
        <v>7114.8211769989375</v>
      </c>
      <c r="P20" s="121">
        <f t="shared" si="8"/>
        <v>7077.6851711139425</v>
      </c>
      <c r="Q20" s="121">
        <f t="shared" si="8"/>
        <v>7040.7348452583738</v>
      </c>
      <c r="R20" s="121">
        <f t="shared" si="8"/>
        <v>7003.9692710320815</v>
      </c>
      <c r="S20" s="121">
        <f t="shared" si="8"/>
        <v>6967.3875246769203</v>
      </c>
      <c r="T20" s="121">
        <f t="shared" si="8"/>
        <v>6930.9886870535356</v>
      </c>
      <c r="U20" s="121">
        <f t="shared" si="8"/>
        <v>6894.7718436182677</v>
      </c>
      <c r="V20" s="121">
        <f t="shared" si="8"/>
        <v>6858.7360844001769</v>
      </c>
      <c r="W20" s="121">
        <f t="shared" si="8"/>
        <v>6822.8805039781764</v>
      </c>
      <c r="X20" s="121">
        <f t="shared" si="8"/>
        <v>6787.2042014582858</v>
      </c>
      <c r="Y20" s="121">
        <f t="shared" si="8"/>
        <v>6751.7062804509933</v>
      </c>
      <c r="Z20" s="121">
        <f t="shared" si="8"/>
        <v>6716.3858490487391</v>
      </c>
      <c r="AA20" s="122">
        <f t="shared" si="8"/>
        <v>6681.2420198034952</v>
      </c>
    </row>
    <row r="21" spans="1:27" x14ac:dyDescent="0.25">
      <c r="A21" s="101" t="s">
        <v>77</v>
      </c>
      <c r="B21" s="40"/>
      <c r="C21" s="40">
        <f>-C10</f>
        <v>0</v>
      </c>
      <c r="D21" s="40">
        <f t="shared" ref="D21:H21" si="9">-D10</f>
        <v>0</v>
      </c>
      <c r="E21" s="40">
        <f t="shared" si="9"/>
        <v>0</v>
      </c>
      <c r="F21" s="40">
        <f t="shared" si="9"/>
        <v>0</v>
      </c>
      <c r="G21" s="40">
        <f t="shared" si="9"/>
        <v>0</v>
      </c>
      <c r="H21" s="40">
        <f t="shared" si="9"/>
        <v>0</v>
      </c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</row>
    <row r="22" spans="1:27" x14ac:dyDescent="0.25">
      <c r="A22" s="101" t="s">
        <v>78</v>
      </c>
      <c r="B22" s="43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68"/>
    </row>
    <row r="23" spans="1:27" x14ac:dyDescent="0.25">
      <c r="A23" s="101" t="s">
        <v>80</v>
      </c>
      <c r="B23" s="42"/>
      <c r="C23" s="40">
        <f t="shared" ref="C23:AA23" si="10">-B76</f>
        <v>0</v>
      </c>
      <c r="D23" s="40">
        <f t="shared" si="10"/>
        <v>0</v>
      </c>
      <c r="E23" s="40">
        <f t="shared" si="10"/>
        <v>0</v>
      </c>
      <c r="F23" s="40">
        <f t="shared" si="10"/>
        <v>0</v>
      </c>
      <c r="G23" s="40">
        <f t="shared" si="10"/>
        <v>0</v>
      </c>
      <c r="H23" s="40">
        <f t="shared" si="10"/>
        <v>0</v>
      </c>
      <c r="I23" s="40">
        <f t="shared" si="10"/>
        <v>0</v>
      </c>
      <c r="J23" s="40">
        <f t="shared" si="10"/>
        <v>0</v>
      </c>
      <c r="K23" s="40">
        <f t="shared" si="10"/>
        <v>0</v>
      </c>
      <c r="L23" s="40">
        <f t="shared" si="10"/>
        <v>0</v>
      </c>
      <c r="M23" s="40">
        <f t="shared" si="10"/>
        <v>0</v>
      </c>
      <c r="N23" s="40">
        <f t="shared" si="10"/>
        <v>0</v>
      </c>
      <c r="O23" s="40">
        <f t="shared" si="10"/>
        <v>0</v>
      </c>
      <c r="P23" s="40">
        <f t="shared" si="10"/>
        <v>0</v>
      </c>
      <c r="Q23" s="40">
        <f t="shared" si="10"/>
        <v>0</v>
      </c>
      <c r="R23" s="40">
        <f t="shared" si="10"/>
        <v>0</v>
      </c>
      <c r="S23" s="40">
        <f t="shared" si="10"/>
        <v>0</v>
      </c>
      <c r="T23" s="40">
        <f t="shared" si="10"/>
        <v>0</v>
      </c>
      <c r="U23" s="40">
        <f t="shared" si="10"/>
        <v>0</v>
      </c>
      <c r="V23" s="40">
        <f t="shared" si="10"/>
        <v>0</v>
      </c>
      <c r="W23" s="40">
        <f t="shared" si="10"/>
        <v>0</v>
      </c>
      <c r="X23" s="40">
        <f t="shared" si="10"/>
        <v>0</v>
      </c>
      <c r="Y23" s="40">
        <f t="shared" si="10"/>
        <v>0</v>
      </c>
      <c r="Z23" s="40">
        <f t="shared" si="10"/>
        <v>0</v>
      </c>
      <c r="AA23" s="40">
        <f t="shared" si="10"/>
        <v>0</v>
      </c>
    </row>
    <row r="24" spans="1:27" x14ac:dyDescent="0.25">
      <c r="A24" s="101" t="s">
        <v>83</v>
      </c>
      <c r="B24" s="40">
        <f>-B54</f>
        <v>-24000</v>
      </c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</row>
    <row r="25" spans="1:27" ht="15.75" thickBot="1" x14ac:dyDescent="0.3">
      <c r="A25" s="108" t="s">
        <v>84</v>
      </c>
      <c r="B25" s="94">
        <f>$B$60</f>
        <v>0</v>
      </c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</row>
    <row r="26" spans="1:27" x14ac:dyDescent="0.25">
      <c r="A26" s="69" t="s">
        <v>25</v>
      </c>
      <c r="B26" s="44">
        <f>SUM(B20:B25)</f>
        <v>-24000</v>
      </c>
      <c r="C26" s="44">
        <f>SUM(C20:C25)</f>
        <v>7575.2806667347995</v>
      </c>
      <c r="D26" s="44">
        <f t="shared" ref="D26:Z26" si="11">SUM(D20:D25)</f>
        <v>7535.842363401126</v>
      </c>
      <c r="E26" s="44">
        <f t="shared" si="11"/>
        <v>7496.6012515841203</v>
      </c>
      <c r="F26" s="44">
        <f t="shared" si="11"/>
        <v>7457.5563453261993</v>
      </c>
      <c r="G26" s="44">
        <f t="shared" si="11"/>
        <v>7418.7066635995679</v>
      </c>
      <c r="H26" s="44">
        <f t="shared" si="11"/>
        <v>7380.0512302815696</v>
      </c>
      <c r="I26" s="44">
        <f t="shared" si="11"/>
        <v>7341.5890741301628</v>
      </c>
      <c r="J26" s="44">
        <f t="shared" si="11"/>
        <v>7303.319228759512</v>
      </c>
      <c r="K26" s="44">
        <f t="shared" si="11"/>
        <v>7265.2407326157136</v>
      </c>
      <c r="L26" s="44">
        <f t="shared" si="11"/>
        <v>7227.3526289526353</v>
      </c>
      <c r="M26" s="44">
        <f t="shared" si="11"/>
        <v>7189.6539658078727</v>
      </c>
      <c r="N26" s="44">
        <f t="shared" si="11"/>
        <v>7152.1437959788327</v>
      </c>
      <c r="O26" s="44">
        <f t="shared" si="11"/>
        <v>7114.8211769989375</v>
      </c>
      <c r="P26" s="44">
        <f t="shared" si="11"/>
        <v>7077.6851711139425</v>
      </c>
      <c r="Q26" s="44">
        <f t="shared" si="11"/>
        <v>7040.7348452583738</v>
      </c>
      <c r="R26" s="44">
        <f t="shared" si="11"/>
        <v>7003.9692710320815</v>
      </c>
      <c r="S26" s="44">
        <f t="shared" si="11"/>
        <v>6967.3875246769203</v>
      </c>
      <c r="T26" s="44">
        <f t="shared" si="11"/>
        <v>6930.9886870535356</v>
      </c>
      <c r="U26" s="44">
        <f t="shared" si="11"/>
        <v>6894.7718436182677</v>
      </c>
      <c r="V26" s="44">
        <f t="shared" si="11"/>
        <v>6858.7360844001769</v>
      </c>
      <c r="W26" s="44">
        <f t="shared" si="11"/>
        <v>6822.8805039781764</v>
      </c>
      <c r="X26" s="44">
        <f t="shared" si="11"/>
        <v>6787.2042014582858</v>
      </c>
      <c r="Y26" s="44">
        <f t="shared" si="11"/>
        <v>6751.7062804509933</v>
      </c>
      <c r="Z26" s="44">
        <f t="shared" si="11"/>
        <v>6716.3858490487391</v>
      </c>
      <c r="AA26" s="44">
        <f>SUM(AA20:AA25)</f>
        <v>6681.2420198034952</v>
      </c>
    </row>
    <row r="27" spans="1:27" x14ac:dyDescent="0.25">
      <c r="A27" s="70" t="s">
        <v>45</v>
      </c>
      <c r="B27" s="45">
        <f>B26</f>
        <v>-24000</v>
      </c>
      <c r="C27" s="45">
        <f t="shared" ref="C27:AA27" si="12">B27+C26</f>
        <v>-16424.719333265202</v>
      </c>
      <c r="D27" s="45">
        <f t="shared" si="12"/>
        <v>-8888.8769698640754</v>
      </c>
      <c r="E27" s="45">
        <f t="shared" si="12"/>
        <v>-1392.2757182799551</v>
      </c>
      <c r="F27" s="45">
        <f t="shared" si="12"/>
        <v>6065.2806270462443</v>
      </c>
      <c r="G27" s="45">
        <f t="shared" si="12"/>
        <v>13483.987290645811</v>
      </c>
      <c r="H27" s="45">
        <f t="shared" si="12"/>
        <v>20864.038520927381</v>
      </c>
      <c r="I27" s="45">
        <f t="shared" si="12"/>
        <v>28205.627595057544</v>
      </c>
      <c r="J27" s="45">
        <f t="shared" si="12"/>
        <v>35508.946823817052</v>
      </c>
      <c r="K27" s="45">
        <f t="shared" si="12"/>
        <v>42774.187556432764</v>
      </c>
      <c r="L27" s="45">
        <f t="shared" si="12"/>
        <v>50001.540185385398</v>
      </c>
      <c r="M27" s="45">
        <f t="shared" si="12"/>
        <v>57191.194151193267</v>
      </c>
      <c r="N27" s="45">
        <f t="shared" si="12"/>
        <v>64343.337947172098</v>
      </c>
      <c r="O27" s="45">
        <f t="shared" si="12"/>
        <v>71458.159124171041</v>
      </c>
      <c r="P27" s="45">
        <f t="shared" si="12"/>
        <v>78535.844295284987</v>
      </c>
      <c r="Q27" s="45">
        <f t="shared" si="12"/>
        <v>85576.579140543356</v>
      </c>
      <c r="R27" s="45">
        <f t="shared" si="12"/>
        <v>92580.548411575437</v>
      </c>
      <c r="S27" s="45">
        <f t="shared" si="12"/>
        <v>99547.935936252354</v>
      </c>
      <c r="T27" s="45">
        <f t="shared" si="12"/>
        <v>106478.92462330589</v>
      </c>
      <c r="U27" s="45">
        <f t="shared" si="12"/>
        <v>113373.69646692416</v>
      </c>
      <c r="V27" s="45">
        <f t="shared" si="12"/>
        <v>120232.43255132434</v>
      </c>
      <c r="W27" s="45">
        <f t="shared" si="12"/>
        <v>127055.31305530251</v>
      </c>
      <c r="X27" s="45">
        <f t="shared" si="12"/>
        <v>133842.5172567608</v>
      </c>
      <c r="Y27" s="45">
        <f t="shared" si="12"/>
        <v>140594.2235372118</v>
      </c>
      <c r="Z27" s="45">
        <f t="shared" si="12"/>
        <v>147310.60938626053</v>
      </c>
      <c r="AA27" s="71">
        <f t="shared" si="12"/>
        <v>153991.85140606403</v>
      </c>
    </row>
    <row r="28" spans="1:27" x14ac:dyDescent="0.25">
      <c r="A28" s="69" t="s">
        <v>46</v>
      </c>
      <c r="B28" s="46">
        <f>B26</f>
        <v>-24000</v>
      </c>
      <c r="C28" s="46">
        <f t="shared" ref="C28:AA28" si="13">C26/((1+$B$37)^C4)</f>
        <v>7354.6414240143686</v>
      </c>
      <c r="D28" s="46">
        <f t="shared" si="13"/>
        <v>7103.2541836187447</v>
      </c>
      <c r="E28" s="46">
        <f t="shared" si="13"/>
        <v>6860.4521088836646</v>
      </c>
      <c r="F28" s="46">
        <f t="shared" si="13"/>
        <v>6625.9422219237895</v>
      </c>
      <c r="G28" s="46">
        <f t="shared" si="13"/>
        <v>6399.4415367903212</v>
      </c>
      <c r="H28" s="46">
        <f t="shared" si="13"/>
        <v>6180.6767188796493</v>
      </c>
      <c r="I28" s="46">
        <f t="shared" si="13"/>
        <v>5969.3837559463473</v>
      </c>
      <c r="J28" s="46">
        <f t="shared" si="13"/>
        <v>5765.3076403252908</v>
      </c>
      <c r="K28" s="46">
        <f t="shared" si="13"/>
        <v>5568.2020619811537</v>
      </c>
      <c r="L28" s="46">
        <f t="shared" si="13"/>
        <v>5377.829112016505</v>
      </c>
      <c r="M28" s="46">
        <f t="shared" si="13"/>
        <v>5193.9589962822774</v>
      </c>
      <c r="N28" s="46">
        <f t="shared" si="13"/>
        <v>5016.3697587465504</v>
      </c>
      <c r="O28" s="46">
        <f t="shared" si="13"/>
        <v>4844.8470142892656</v>
      </c>
      <c r="P28" s="46">
        <f t="shared" si="13"/>
        <v>4679.1836906018279</v>
      </c>
      <c r="Q28" s="46">
        <f t="shared" si="13"/>
        <v>4519.1797788814674</v>
      </c>
      <c r="R28" s="46">
        <f t="shared" si="13"/>
        <v>4364.6420930207978</v>
      </c>
      <c r="S28" s="46">
        <f t="shared" si="13"/>
        <v>4215.3840370032285</v>
      </c>
      <c r="T28" s="46">
        <f t="shared" si="13"/>
        <v>4071.2253802247064</v>
      </c>
      <c r="U28" s="46">
        <f t="shared" si="13"/>
        <v>3931.9920404717932</v>
      </c>
      <c r="V28" s="46">
        <f t="shared" si="13"/>
        <v>3797.5158742952981</v>
      </c>
      <c r="W28" s="46">
        <f t="shared" si="13"/>
        <v>3667.6344745275323</v>
      </c>
      <c r="X28" s="46">
        <f t="shared" si="13"/>
        <v>3542.1909746998567</v>
      </c>
      <c r="Y28" s="46">
        <f t="shared" si="13"/>
        <v>3421.0338601254639</v>
      </c>
      <c r="Z28" s="46">
        <f t="shared" si="13"/>
        <v>3304.0167854203546</v>
      </c>
      <c r="AA28" s="72">
        <f t="shared" si="13"/>
        <v>3190.998398243169</v>
      </c>
    </row>
    <row r="29" spans="1:27" ht="15.75" thickBot="1" x14ac:dyDescent="0.3">
      <c r="A29" s="73" t="s">
        <v>52</v>
      </c>
      <c r="B29" s="74">
        <f>B28</f>
        <v>-24000</v>
      </c>
      <c r="C29" s="74">
        <f>B29+C28</f>
        <v>-16645.358575985632</v>
      </c>
      <c r="D29" s="74">
        <f>C29+D28</f>
        <v>-9542.1043923668876</v>
      </c>
      <c r="E29" s="74">
        <f t="shared" ref="E29:AA29" si="14">D29+E28</f>
        <v>-2681.6522834832231</v>
      </c>
      <c r="F29" s="74">
        <f t="shared" si="14"/>
        <v>3944.2899384405664</v>
      </c>
      <c r="G29" s="74">
        <f t="shared" si="14"/>
        <v>10343.731475230888</v>
      </c>
      <c r="H29" s="74">
        <f t="shared" si="14"/>
        <v>16524.40819411054</v>
      </c>
      <c r="I29" s="74">
        <f t="shared" si="14"/>
        <v>22493.791950056886</v>
      </c>
      <c r="J29" s="74">
        <f t="shared" si="14"/>
        <v>28259.099590382175</v>
      </c>
      <c r="K29" s="74">
        <f t="shared" si="14"/>
        <v>33827.301652363327</v>
      </c>
      <c r="L29" s="74">
        <f t="shared" si="14"/>
        <v>39205.130764379835</v>
      </c>
      <c r="M29" s="74">
        <f t="shared" si="14"/>
        <v>44399.089760662115</v>
      </c>
      <c r="N29" s="74">
        <f t="shared" si="14"/>
        <v>49415.459519408665</v>
      </c>
      <c r="O29" s="74">
        <f t="shared" si="14"/>
        <v>54260.306533697934</v>
      </c>
      <c r="P29" s="74">
        <f t="shared" si="14"/>
        <v>58939.490224299763</v>
      </c>
      <c r="Q29" s="74">
        <f t="shared" si="14"/>
        <v>63458.670003181229</v>
      </c>
      <c r="R29" s="74">
        <f t="shared" si="14"/>
        <v>67823.312096202033</v>
      </c>
      <c r="S29" s="74">
        <f t="shared" si="14"/>
        <v>72038.69613320526</v>
      </c>
      <c r="T29" s="74">
        <f t="shared" si="14"/>
        <v>76109.921513429959</v>
      </c>
      <c r="U29" s="74">
        <f t="shared" si="14"/>
        <v>80041.913553901759</v>
      </c>
      <c r="V29" s="74">
        <f t="shared" si="14"/>
        <v>83839.429428197051</v>
      </c>
      <c r="W29" s="74">
        <f t="shared" si="14"/>
        <v>87507.063902724578</v>
      </c>
      <c r="X29" s="74">
        <f t="shared" si="14"/>
        <v>91049.254877424435</v>
      </c>
      <c r="Y29" s="74">
        <f t="shared" si="14"/>
        <v>94470.288737549898</v>
      </c>
      <c r="Z29" s="74">
        <f t="shared" si="14"/>
        <v>97774.305522970259</v>
      </c>
      <c r="AA29" s="75">
        <f t="shared" si="14"/>
        <v>100965.30392121343</v>
      </c>
    </row>
    <row r="30" spans="1:27" s="47" customFormat="1" x14ac:dyDescent="0.25">
      <c r="A30" s="49" t="s">
        <v>50</v>
      </c>
      <c r="B30" s="50" t="str">
        <f t="shared" ref="B30:AA30" si="15">IF(B27&lt;0,"-",ABS(A27/B26))</f>
        <v>-</v>
      </c>
      <c r="C30" s="50" t="str">
        <f t="shared" si="15"/>
        <v>-</v>
      </c>
      <c r="D30" s="50" t="str">
        <f t="shared" si="15"/>
        <v>-</v>
      </c>
      <c r="E30" s="50" t="str">
        <f t="shared" si="15"/>
        <v>-</v>
      </c>
      <c r="F30" s="50">
        <f t="shared" si="15"/>
        <v>0.18669328849959307</v>
      </c>
      <c r="G30" s="50">
        <f t="shared" si="15"/>
        <v>0.81756577016395482</v>
      </c>
      <c r="H30" s="50">
        <f t="shared" si="15"/>
        <v>1.8270858656534501</v>
      </c>
      <c r="I30" s="50">
        <f t="shared" si="15"/>
        <v>2.8418968033019976</v>
      </c>
      <c r="J30" s="50">
        <f t="shared" si="15"/>
        <v>3.8620285806469319</v>
      </c>
      <c r="K30" s="50">
        <f t="shared" si="15"/>
        <v>4.8875113889079245</v>
      </c>
      <c r="L30" s="50">
        <f t="shared" si="15"/>
        <v>5.9183756144788333</v>
      </c>
      <c r="M30" s="50">
        <f t="shared" si="15"/>
        <v>6.9546518404334536</v>
      </c>
      <c r="N30" s="50">
        <f t="shared" si="15"/>
        <v>7.9963708480453111</v>
      </c>
      <c r="O30" s="50">
        <f t="shared" si="15"/>
        <v>9.043563618321663</v>
      </c>
      <c r="P30" s="50">
        <f t="shared" si="15"/>
        <v>10.096261333551855</v>
      </c>
      <c r="Q30" s="50">
        <f t="shared" si="15"/>
        <v>11.154495378870209</v>
      </c>
      <c r="R30" s="50">
        <f t="shared" si="15"/>
        <v>12.218297343833589</v>
      </c>
      <c r="S30" s="50">
        <f t="shared" si="15"/>
        <v>13.287699024013799</v>
      </c>
      <c r="T30" s="50">
        <f t="shared" si="15"/>
        <v>14.362732422605012</v>
      </c>
      <c r="U30" s="50">
        <f t="shared" si="15"/>
        <v>15.443429752046361</v>
      </c>
      <c r="V30" s="50">
        <f t="shared" si="15"/>
        <v>16.529823435659885</v>
      </c>
      <c r="W30" s="50">
        <f t="shared" si="15"/>
        <v>17.621946109303998</v>
      </c>
      <c r="X30" s="50">
        <f t="shared" si="15"/>
        <v>18.719830623042643</v>
      </c>
      <c r="Y30" s="50">
        <f t="shared" si="15"/>
        <v>19.823510042830318</v>
      </c>
      <c r="Z30" s="50">
        <f t="shared" si="15"/>
        <v>20.933017652213142</v>
      </c>
      <c r="AA30" s="50">
        <f t="shared" si="15"/>
        <v>22.04838695404618</v>
      </c>
    </row>
    <row r="31" spans="1:27" s="47" customFormat="1" x14ac:dyDescent="0.25">
      <c r="A31" s="49" t="s">
        <v>53</v>
      </c>
      <c r="B31" s="50" t="str">
        <f>IF(B29&lt;0,"-",ABS(A29/B28))</f>
        <v>-</v>
      </c>
      <c r="C31" s="50" t="str">
        <f t="shared" ref="C31:AA31" si="16">IF(C29&lt;0,"-",ABS(B29/C28))</f>
        <v>-</v>
      </c>
      <c r="D31" s="50" t="str">
        <f t="shared" si="16"/>
        <v>-</v>
      </c>
      <c r="E31" s="50" t="str">
        <f t="shared" si="16"/>
        <v>-</v>
      </c>
      <c r="F31" s="50">
        <f t="shared" si="16"/>
        <v>0.40472014298739639</v>
      </c>
      <c r="G31" s="50">
        <f t="shared" si="16"/>
        <v>0.61634908542642131</v>
      </c>
      <c r="H31" s="50">
        <f t="shared" si="16"/>
        <v>1.6735596999653239</v>
      </c>
      <c r="I31" s="50">
        <f t="shared" si="16"/>
        <v>2.7681933126932745</v>
      </c>
      <c r="J31" s="50">
        <f t="shared" si="16"/>
        <v>3.9015770455551508</v>
      </c>
      <c r="K31" s="50">
        <f t="shared" si="16"/>
        <v>5.075085148818693</v>
      </c>
      <c r="L31" s="50">
        <f t="shared" si="16"/>
        <v>6.2901406771698678</v>
      </c>
      <c r="M31" s="50">
        <f t="shared" si="16"/>
        <v>7.5482172255194957</v>
      </c>
      <c r="N31" s="50">
        <f t="shared" si="16"/>
        <v>8.8508407266525335</v>
      </c>
      <c r="O31" s="50">
        <f t="shared" si="16"/>
        <v>10.199591312927735</v>
      </c>
      <c r="P31" s="50">
        <f t="shared" si="16"/>
        <v>11.596105244314328</v>
      </c>
      <c r="Q31" s="50">
        <f t="shared" si="16"/>
        <v>13.042076905134266</v>
      </c>
      <c r="R31" s="50">
        <f t="shared" si="16"/>
        <v>14.539260871963286</v>
      </c>
      <c r="S31" s="50">
        <f t="shared" si="16"/>
        <v>16.089474055231872</v>
      </c>
      <c r="T31" s="50">
        <f t="shared" si="16"/>
        <v>17.694597917158095</v>
      </c>
      <c r="U31" s="50">
        <f t="shared" si="16"/>
        <v>19.356580768738702</v>
      </c>
      <c r="V31" s="50">
        <f t="shared" si="16"/>
        <v>21.077440148622177</v>
      </c>
      <c r="W31" s="50">
        <f t="shared" si="16"/>
        <v>22.859265286788787</v>
      </c>
      <c r="X31" s="50">
        <f t="shared" si="16"/>
        <v>24.704219656067352</v>
      </c>
      <c r="Y31" s="50">
        <f t="shared" si="16"/>
        <v>26.614543614626857</v>
      </c>
      <c r="Z31" s="50">
        <f t="shared" si="16"/>
        <v>28.592557142693476</v>
      </c>
      <c r="AA31" s="50">
        <f t="shared" si="16"/>
        <v>30.640662676860234</v>
      </c>
    </row>
    <row r="32" spans="1:27" s="47" customFormat="1" x14ac:dyDescent="0.25">
      <c r="A32" s="49"/>
      <c r="B32" s="50"/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</row>
    <row r="33" spans="1:27" s="47" customFormat="1" x14ac:dyDescent="0.25">
      <c r="A33" s="49"/>
      <c r="B33" s="50"/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</row>
    <row r="34" spans="1:27" ht="15.75" thickBot="1" x14ac:dyDescent="0.3">
      <c r="A34" s="12"/>
      <c r="B34" s="13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4"/>
    </row>
    <row r="35" spans="1:27" x14ac:dyDescent="0.25">
      <c r="A35" s="53" t="s">
        <v>22</v>
      </c>
      <c r="B35" s="56">
        <f>NPV(B37,C26:AA26)+B26</f>
        <v>100965.30392121334</v>
      </c>
      <c r="C35" s="15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</row>
    <row r="36" spans="1:27" x14ac:dyDescent="0.25">
      <c r="A36" s="54" t="s">
        <v>23</v>
      </c>
      <c r="B36" s="57">
        <f>IRR(B26:AA26,4)</f>
        <v>0.31010368790169984</v>
      </c>
      <c r="C36" s="15"/>
      <c r="D36" s="17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</row>
    <row r="37" spans="1:27" x14ac:dyDescent="0.25">
      <c r="A37" s="54" t="s">
        <v>24</v>
      </c>
      <c r="B37" s="57">
        <f>'100% Ownership'!D37</f>
        <v>0.03</v>
      </c>
      <c r="C37" s="15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</row>
    <row r="38" spans="1:27" x14ac:dyDescent="0.25">
      <c r="A38" s="55" t="s">
        <v>47</v>
      </c>
      <c r="B38" s="58">
        <f>COUNTIF(C27:AA27,"&lt;"&amp;0)+INDEX(C30:AA30,,COUNTIF(C27:AA27,"&lt;"&amp;0)+1)</f>
        <v>3.1866932884995931</v>
      </c>
      <c r="C38" s="15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</row>
    <row r="39" spans="1:27" ht="15.75" thickBot="1" x14ac:dyDescent="0.3">
      <c r="A39" s="59" t="s">
        <v>51</v>
      </c>
      <c r="B39" s="60">
        <f>COUNTIF(C29:AA29,"&lt;"&amp;0)+INDEX(C31:AA31,,COUNTIF(C29:AA29,"&lt;"&amp;0)+1)</f>
        <v>3.4047201429873963</v>
      </c>
      <c r="C39" s="15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</row>
    <row r="40" spans="1:27" x14ac:dyDescent="0.25">
      <c r="A40" s="51"/>
      <c r="B40" s="52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20"/>
    </row>
    <row r="41" spans="1:27" x14ac:dyDescent="0.25">
      <c r="A41" s="18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4"/>
    </row>
    <row r="42" spans="1:27" ht="15.75" thickBot="1" x14ac:dyDescent="0.3">
      <c r="A42" s="21"/>
      <c r="B42" s="22"/>
      <c r="C42" s="23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 t="s">
        <v>54</v>
      </c>
      <c r="V42" s="16"/>
      <c r="W42" s="16"/>
      <c r="X42" s="16"/>
      <c r="Y42" s="16"/>
      <c r="Z42" s="16"/>
      <c r="AA42" s="16"/>
    </row>
    <row r="43" spans="1:27" x14ac:dyDescent="0.25">
      <c r="A43" s="354" t="s">
        <v>1</v>
      </c>
      <c r="B43" s="355"/>
      <c r="C43" s="33" t="s">
        <v>30</v>
      </c>
      <c r="D43" s="24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</row>
    <row r="44" spans="1:27" ht="45" customHeight="1" x14ac:dyDescent="0.25">
      <c r="A44" s="34" t="s">
        <v>49</v>
      </c>
      <c r="B44" s="28">
        <f>'100% Ownership'!D18</f>
        <v>54180</v>
      </c>
      <c r="C44" s="35" t="s">
        <v>37</v>
      </c>
      <c r="D44" s="12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</row>
    <row r="45" spans="1:27" ht="60" customHeight="1" x14ac:dyDescent="0.25">
      <c r="A45" s="34" t="s">
        <v>27</v>
      </c>
      <c r="B45" s="29">
        <f>'100% Ownership'!D19</f>
        <v>356.06666668000003</v>
      </c>
      <c r="C45" s="35" t="s">
        <v>38</v>
      </c>
      <c r="D45" s="15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</row>
    <row r="46" spans="1:27" ht="30" x14ac:dyDescent="0.25">
      <c r="A46" s="34" t="s">
        <v>62</v>
      </c>
      <c r="B46" s="30">
        <f>'100% Ownership'!D24</f>
        <v>0.112</v>
      </c>
      <c r="C46" s="80" t="s">
        <v>39</v>
      </c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7"/>
    </row>
    <row r="47" spans="1:27" ht="30" x14ac:dyDescent="0.25">
      <c r="A47" s="34" t="s">
        <v>40</v>
      </c>
      <c r="B47" s="151">
        <f>'100% Ownership'!D25</f>
        <v>5.1100000000000003</v>
      </c>
      <c r="C47" s="35" t="s">
        <v>39</v>
      </c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20"/>
    </row>
    <row r="48" spans="1:27" x14ac:dyDescent="0.25">
      <c r="A48" s="34" t="s">
        <v>55</v>
      </c>
      <c r="B48" s="79">
        <f>'100% Ownership'!D33</f>
        <v>50000</v>
      </c>
      <c r="C48" s="35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</row>
    <row r="49" spans="1:3" ht="45" customHeight="1" x14ac:dyDescent="0.25">
      <c r="A49" s="34" t="s">
        <v>56</v>
      </c>
      <c r="B49" s="31">
        <f>'100% Ownership'!D26</f>
        <v>0</v>
      </c>
      <c r="C49" s="36" t="s">
        <v>31</v>
      </c>
    </row>
    <row r="50" spans="1:3" x14ac:dyDescent="0.25">
      <c r="A50" s="34" t="s">
        <v>35</v>
      </c>
      <c r="B50" s="133">
        <f>'100% Ownership'!D15</f>
        <v>40</v>
      </c>
      <c r="C50" s="36"/>
    </row>
    <row r="51" spans="1:3" ht="45" x14ac:dyDescent="0.25">
      <c r="A51" s="34" t="s">
        <v>41</v>
      </c>
      <c r="B51" s="144">
        <f>'100% Ownership'!D31</f>
        <v>1.85</v>
      </c>
      <c r="C51" s="36" t="s">
        <v>43</v>
      </c>
    </row>
    <row r="52" spans="1:3" x14ac:dyDescent="0.25">
      <c r="A52" s="34" t="s">
        <v>58</v>
      </c>
      <c r="B52" s="76">
        <f>'100% Ownership'!D32</f>
        <v>0</v>
      </c>
      <c r="C52" s="36"/>
    </row>
    <row r="53" spans="1:3" x14ac:dyDescent="0.25">
      <c r="A53" s="34" t="s">
        <v>36</v>
      </c>
      <c r="B53" s="31">
        <f>'100% Ownership'!D40</f>
        <v>74000</v>
      </c>
      <c r="C53" s="36"/>
    </row>
    <row r="54" spans="1:3" x14ac:dyDescent="0.25">
      <c r="A54" s="34" t="s">
        <v>57</v>
      </c>
      <c r="B54" s="31">
        <f>'100% Ownership'!D42</f>
        <v>24000</v>
      </c>
      <c r="C54" s="36"/>
    </row>
    <row r="55" spans="1:3" ht="45" x14ac:dyDescent="0.25">
      <c r="A55" s="37" t="s">
        <v>42</v>
      </c>
      <c r="B55" s="31">
        <f>'100% Ownership'!D43</f>
        <v>800</v>
      </c>
      <c r="C55" s="36" t="s">
        <v>59</v>
      </c>
    </row>
    <row r="56" spans="1:3" ht="30" x14ac:dyDescent="0.25">
      <c r="A56" s="37" t="s">
        <v>29</v>
      </c>
      <c r="B56" s="32">
        <f>'100% Ownership'!D58</f>
        <v>5.0000000000000001E-3</v>
      </c>
      <c r="C56" s="36" t="s">
        <v>44</v>
      </c>
    </row>
    <row r="57" spans="1:3" x14ac:dyDescent="0.25">
      <c r="A57" s="37" t="s">
        <v>34</v>
      </c>
      <c r="B57" s="147">
        <f>'100% Ownership'!D35</f>
        <v>9</v>
      </c>
      <c r="C57" s="36"/>
    </row>
    <row r="58" spans="1:3" x14ac:dyDescent="0.25">
      <c r="A58" s="37" t="s">
        <v>74</v>
      </c>
      <c r="B58" s="136">
        <f>'100% Ownership'!D36</f>
        <v>0</v>
      </c>
      <c r="C58" s="36"/>
    </row>
    <row r="59" spans="1:3" ht="30" x14ac:dyDescent="0.25">
      <c r="A59" s="37" t="s">
        <v>60</v>
      </c>
      <c r="B59" s="137">
        <f>'100% Ownership'!D48</f>
        <v>0</v>
      </c>
      <c r="C59" s="36" t="s">
        <v>61</v>
      </c>
    </row>
    <row r="60" spans="1:3" x14ac:dyDescent="0.25">
      <c r="A60" s="37" t="s">
        <v>67</v>
      </c>
      <c r="B60" s="138">
        <f>'100% Ownership'!D53</f>
        <v>0</v>
      </c>
      <c r="C60" s="36"/>
    </row>
    <row r="61" spans="1:3" x14ac:dyDescent="0.25">
      <c r="A61" s="37" t="s">
        <v>64</v>
      </c>
      <c r="B61" s="158">
        <f>IF('100% Ownership'!D49 &lt;= 0, 0.0001,'100% Ownership'!D49)</f>
        <v>0.01</v>
      </c>
      <c r="C61" s="139"/>
    </row>
    <row r="62" spans="1:3" ht="15.75" thickBot="1" x14ac:dyDescent="0.3">
      <c r="A62" s="38" t="s">
        <v>65</v>
      </c>
      <c r="B62" s="152">
        <f>IF('100% Ownership'!D50 &lt;= 0, 0.00001, '100% Ownership'!D50 )</f>
        <v>20</v>
      </c>
      <c r="C62" s="140"/>
    </row>
    <row r="63" spans="1:3" x14ac:dyDescent="0.25">
      <c r="A63" s="123"/>
      <c r="B63" s="124"/>
    </row>
    <row r="65" spans="1:26" s="92" customFormat="1" ht="15.75" thickBot="1" x14ac:dyDescent="0.3"/>
    <row r="67" spans="1:26" x14ac:dyDescent="0.25">
      <c r="A67" s="81" t="s">
        <v>63</v>
      </c>
    </row>
    <row r="69" spans="1:26" x14ac:dyDescent="0.25">
      <c r="B69" s="47"/>
    </row>
    <row r="70" spans="1:26" x14ac:dyDescent="0.25">
      <c r="A70" s="124" t="s">
        <v>82</v>
      </c>
      <c r="B70" s="124">
        <f>($B$61*((1+$B$61)^$B$62))/(((1+$B$61)^$B$62)-1)</f>
        <v>5.5415314890551334E-2</v>
      </c>
    </row>
    <row r="71" spans="1:26" x14ac:dyDescent="0.25">
      <c r="A71" s="10" t="s">
        <v>66</v>
      </c>
      <c r="B71" s="82">
        <f>$B$70*$B$60</f>
        <v>0</v>
      </c>
    </row>
    <row r="72" spans="1:26" ht="15.75" thickBot="1" x14ac:dyDescent="0.3"/>
    <row r="73" spans="1:26" x14ac:dyDescent="0.25">
      <c r="A73" s="87" t="s">
        <v>18</v>
      </c>
      <c r="B73" s="84">
        <v>1</v>
      </c>
      <c r="C73" s="84">
        <v>2</v>
      </c>
      <c r="D73" s="84">
        <v>3</v>
      </c>
      <c r="E73" s="84">
        <v>4</v>
      </c>
      <c r="F73" s="84">
        <v>5</v>
      </c>
      <c r="G73" s="84">
        <v>6</v>
      </c>
      <c r="H73" s="84">
        <v>7</v>
      </c>
      <c r="I73" s="84">
        <v>8</v>
      </c>
      <c r="J73" s="84">
        <v>9</v>
      </c>
      <c r="K73" s="84">
        <v>10</v>
      </c>
      <c r="L73" s="84">
        <v>11</v>
      </c>
      <c r="M73" s="84">
        <v>12</v>
      </c>
      <c r="N73" s="84">
        <v>13</v>
      </c>
      <c r="O73" s="84">
        <v>14</v>
      </c>
      <c r="P73" s="84">
        <v>15</v>
      </c>
      <c r="Q73" s="84">
        <v>16</v>
      </c>
      <c r="R73" s="84">
        <v>17</v>
      </c>
      <c r="S73" s="84">
        <v>18</v>
      </c>
      <c r="T73" s="84">
        <v>19</v>
      </c>
      <c r="U73" s="84">
        <v>20</v>
      </c>
      <c r="V73" s="84">
        <v>21</v>
      </c>
      <c r="W73" s="84">
        <v>22</v>
      </c>
      <c r="X73" s="84">
        <v>23</v>
      </c>
      <c r="Y73" s="84">
        <v>24</v>
      </c>
      <c r="Z73" s="85">
        <v>25</v>
      </c>
    </row>
    <row r="74" spans="1:26" x14ac:dyDescent="0.25">
      <c r="A74" s="88" t="s">
        <v>68</v>
      </c>
      <c r="B74" s="83">
        <f>$B$71</f>
        <v>0</v>
      </c>
      <c r="C74" s="83">
        <f>IF(B77&lt;=1,0,$B$74)</f>
        <v>0</v>
      </c>
      <c r="D74" s="83">
        <f t="shared" ref="D74:Z74" si="17">IF(C77&lt;=1,0,$B$74)</f>
        <v>0</v>
      </c>
      <c r="E74" s="83">
        <f t="shared" si="17"/>
        <v>0</v>
      </c>
      <c r="F74" s="83">
        <f t="shared" si="17"/>
        <v>0</v>
      </c>
      <c r="G74" s="83">
        <f t="shared" si="17"/>
        <v>0</v>
      </c>
      <c r="H74" s="83">
        <f t="shared" si="17"/>
        <v>0</v>
      </c>
      <c r="I74" s="83">
        <f t="shared" si="17"/>
        <v>0</v>
      </c>
      <c r="J74" s="83">
        <f t="shared" si="17"/>
        <v>0</v>
      </c>
      <c r="K74" s="83">
        <f t="shared" si="17"/>
        <v>0</v>
      </c>
      <c r="L74" s="83">
        <f t="shared" si="17"/>
        <v>0</v>
      </c>
      <c r="M74" s="83">
        <f t="shared" si="17"/>
        <v>0</v>
      </c>
      <c r="N74" s="83">
        <f t="shared" si="17"/>
        <v>0</v>
      </c>
      <c r="O74" s="83">
        <f t="shared" si="17"/>
        <v>0</v>
      </c>
      <c r="P74" s="83">
        <f t="shared" si="17"/>
        <v>0</v>
      </c>
      <c r="Q74" s="83">
        <f t="shared" si="17"/>
        <v>0</v>
      </c>
      <c r="R74" s="83">
        <f t="shared" si="17"/>
        <v>0</v>
      </c>
      <c r="S74" s="83">
        <f t="shared" si="17"/>
        <v>0</v>
      </c>
      <c r="T74" s="83">
        <f t="shared" si="17"/>
        <v>0</v>
      </c>
      <c r="U74" s="83">
        <f t="shared" si="17"/>
        <v>0</v>
      </c>
      <c r="V74" s="83">
        <f t="shared" si="17"/>
        <v>0</v>
      </c>
      <c r="W74" s="83">
        <f t="shared" si="17"/>
        <v>0</v>
      </c>
      <c r="X74" s="83">
        <f t="shared" si="17"/>
        <v>0</v>
      </c>
      <c r="Y74" s="83">
        <f t="shared" si="17"/>
        <v>0</v>
      </c>
      <c r="Z74" s="83">
        <f t="shared" si="17"/>
        <v>0</v>
      </c>
    </row>
    <row r="75" spans="1:26" x14ac:dyDescent="0.25">
      <c r="A75" s="88" t="s">
        <v>69</v>
      </c>
      <c r="B75" s="83">
        <f>B60*B61</f>
        <v>0</v>
      </c>
      <c r="C75" s="83">
        <f>B77*$B$61</f>
        <v>0</v>
      </c>
      <c r="D75" s="83">
        <f t="shared" ref="D75:Z75" si="18">C77*$B$61</f>
        <v>0</v>
      </c>
      <c r="E75" s="83">
        <f t="shared" si="18"/>
        <v>0</v>
      </c>
      <c r="F75" s="83">
        <f t="shared" si="18"/>
        <v>0</v>
      </c>
      <c r="G75" s="83">
        <f t="shared" si="18"/>
        <v>0</v>
      </c>
      <c r="H75" s="83">
        <f t="shared" si="18"/>
        <v>0</v>
      </c>
      <c r="I75" s="83">
        <f t="shared" si="18"/>
        <v>0</v>
      </c>
      <c r="J75" s="83">
        <f t="shared" si="18"/>
        <v>0</v>
      </c>
      <c r="K75" s="83">
        <f t="shared" si="18"/>
        <v>0</v>
      </c>
      <c r="L75" s="83">
        <f t="shared" si="18"/>
        <v>0</v>
      </c>
      <c r="M75" s="83">
        <f t="shared" si="18"/>
        <v>0</v>
      </c>
      <c r="N75" s="83">
        <f t="shared" si="18"/>
        <v>0</v>
      </c>
      <c r="O75" s="83">
        <f t="shared" si="18"/>
        <v>0</v>
      </c>
      <c r="P75" s="83">
        <f t="shared" si="18"/>
        <v>0</v>
      </c>
      <c r="Q75" s="83">
        <f t="shared" si="18"/>
        <v>0</v>
      </c>
      <c r="R75" s="83">
        <f t="shared" si="18"/>
        <v>0</v>
      </c>
      <c r="S75" s="83">
        <f t="shared" si="18"/>
        <v>0</v>
      </c>
      <c r="T75" s="83">
        <f t="shared" si="18"/>
        <v>0</v>
      </c>
      <c r="U75" s="83">
        <f t="shared" si="18"/>
        <v>0</v>
      </c>
      <c r="V75" s="83">
        <f t="shared" si="18"/>
        <v>0</v>
      </c>
      <c r="W75" s="83">
        <f t="shared" si="18"/>
        <v>0</v>
      </c>
      <c r="X75" s="83">
        <f t="shared" si="18"/>
        <v>0</v>
      </c>
      <c r="Y75" s="83">
        <f t="shared" si="18"/>
        <v>0</v>
      </c>
      <c r="Z75" s="83">
        <f t="shared" si="18"/>
        <v>0</v>
      </c>
    </row>
    <row r="76" spans="1:26" x14ac:dyDescent="0.25">
      <c r="A76" s="88" t="s">
        <v>81</v>
      </c>
      <c r="B76" s="83">
        <f>B74-B75</f>
        <v>0</v>
      </c>
      <c r="C76" s="83">
        <f>C74-C75</f>
        <v>0</v>
      </c>
      <c r="D76" s="83">
        <f t="shared" ref="D76:Z76" si="19">D74-D75</f>
        <v>0</v>
      </c>
      <c r="E76" s="83">
        <f t="shared" si="19"/>
        <v>0</v>
      </c>
      <c r="F76" s="83">
        <f t="shared" si="19"/>
        <v>0</v>
      </c>
      <c r="G76" s="83">
        <f t="shared" si="19"/>
        <v>0</v>
      </c>
      <c r="H76" s="83">
        <f t="shared" si="19"/>
        <v>0</v>
      </c>
      <c r="I76" s="83">
        <f t="shared" si="19"/>
        <v>0</v>
      </c>
      <c r="J76" s="83">
        <f t="shared" si="19"/>
        <v>0</v>
      </c>
      <c r="K76" s="83">
        <f t="shared" si="19"/>
        <v>0</v>
      </c>
      <c r="L76" s="83">
        <f t="shared" si="19"/>
        <v>0</v>
      </c>
      <c r="M76" s="83">
        <f t="shared" si="19"/>
        <v>0</v>
      </c>
      <c r="N76" s="83">
        <f t="shared" si="19"/>
        <v>0</v>
      </c>
      <c r="O76" s="83">
        <f t="shared" si="19"/>
        <v>0</v>
      </c>
      <c r="P76" s="83">
        <f t="shared" si="19"/>
        <v>0</v>
      </c>
      <c r="Q76" s="83">
        <f t="shared" si="19"/>
        <v>0</v>
      </c>
      <c r="R76" s="83">
        <f t="shared" si="19"/>
        <v>0</v>
      </c>
      <c r="S76" s="83">
        <f t="shared" si="19"/>
        <v>0</v>
      </c>
      <c r="T76" s="83">
        <f t="shared" si="19"/>
        <v>0</v>
      </c>
      <c r="U76" s="83">
        <f t="shared" si="19"/>
        <v>0</v>
      </c>
      <c r="V76" s="83">
        <f t="shared" si="19"/>
        <v>0</v>
      </c>
      <c r="W76" s="83">
        <f t="shared" si="19"/>
        <v>0</v>
      </c>
      <c r="X76" s="83">
        <f t="shared" si="19"/>
        <v>0</v>
      </c>
      <c r="Y76" s="83">
        <f t="shared" si="19"/>
        <v>0</v>
      </c>
      <c r="Z76" s="83">
        <f t="shared" si="19"/>
        <v>0</v>
      </c>
    </row>
    <row r="77" spans="1:26" ht="15.75" thickBot="1" x14ac:dyDescent="0.3">
      <c r="A77" s="89" t="s">
        <v>70</v>
      </c>
      <c r="B77" s="86">
        <f>B60-B76</f>
        <v>0</v>
      </c>
      <c r="C77" s="86">
        <f>B77-C76</f>
        <v>0</v>
      </c>
      <c r="D77" s="86">
        <f t="shared" ref="D77:Z77" si="20">C77-D76</f>
        <v>0</v>
      </c>
      <c r="E77" s="86">
        <f t="shared" si="20"/>
        <v>0</v>
      </c>
      <c r="F77" s="86">
        <f t="shared" si="20"/>
        <v>0</v>
      </c>
      <c r="G77" s="86">
        <f t="shared" si="20"/>
        <v>0</v>
      </c>
      <c r="H77" s="86">
        <f t="shared" si="20"/>
        <v>0</v>
      </c>
      <c r="I77" s="86">
        <f t="shared" si="20"/>
        <v>0</v>
      </c>
      <c r="J77" s="86">
        <f t="shared" si="20"/>
        <v>0</v>
      </c>
      <c r="K77" s="86">
        <f t="shared" si="20"/>
        <v>0</v>
      </c>
      <c r="L77" s="86">
        <f t="shared" si="20"/>
        <v>0</v>
      </c>
      <c r="M77" s="86">
        <f t="shared" si="20"/>
        <v>0</v>
      </c>
      <c r="N77" s="86">
        <f t="shared" si="20"/>
        <v>0</v>
      </c>
      <c r="O77" s="86">
        <f t="shared" si="20"/>
        <v>0</v>
      </c>
      <c r="P77" s="86">
        <f t="shared" si="20"/>
        <v>0</v>
      </c>
      <c r="Q77" s="86">
        <f t="shared" si="20"/>
        <v>0</v>
      </c>
      <c r="R77" s="86">
        <f t="shared" si="20"/>
        <v>0</v>
      </c>
      <c r="S77" s="86">
        <f t="shared" si="20"/>
        <v>0</v>
      </c>
      <c r="T77" s="86">
        <f t="shared" si="20"/>
        <v>0</v>
      </c>
      <c r="U77" s="86">
        <f t="shared" si="20"/>
        <v>0</v>
      </c>
      <c r="V77" s="86">
        <f t="shared" si="20"/>
        <v>0</v>
      </c>
      <c r="W77" s="86">
        <f t="shared" si="20"/>
        <v>0</v>
      </c>
      <c r="X77" s="86">
        <f t="shared" si="20"/>
        <v>0</v>
      </c>
      <c r="Y77" s="86">
        <f t="shared" si="20"/>
        <v>0</v>
      </c>
      <c r="Z77" s="86">
        <f t="shared" si="20"/>
        <v>0</v>
      </c>
    </row>
    <row r="79" spans="1:26" s="92" customFormat="1" ht="15.75" thickBot="1" x14ac:dyDescent="0.3"/>
    <row r="80" spans="1:26" ht="15.75" thickBot="1" x14ac:dyDescent="0.3"/>
    <row r="81" spans="1:27" ht="15.75" thickBot="1" x14ac:dyDescent="0.3">
      <c r="A81" s="125" t="s">
        <v>86</v>
      </c>
    </row>
    <row r="82" spans="1:27" x14ac:dyDescent="0.25">
      <c r="A82" s="116" t="s">
        <v>87</v>
      </c>
      <c r="B82" s="117" t="s">
        <v>89</v>
      </c>
      <c r="C82" s="118" t="s">
        <v>30</v>
      </c>
    </row>
    <row r="83" spans="1:27" x14ac:dyDescent="0.25">
      <c r="A83" s="113">
        <v>1</v>
      </c>
      <c r="B83" s="112">
        <v>0</v>
      </c>
      <c r="C83" s="358" t="s">
        <v>88</v>
      </c>
    </row>
    <row r="84" spans="1:27" x14ac:dyDescent="0.25">
      <c r="A84" s="113">
        <v>2</v>
      </c>
      <c r="B84" s="112">
        <v>0</v>
      </c>
      <c r="C84" s="358"/>
    </row>
    <row r="85" spans="1:27" x14ac:dyDescent="0.25">
      <c r="A85" s="113">
        <v>3</v>
      </c>
      <c r="B85" s="112">
        <v>0</v>
      </c>
      <c r="C85" s="358"/>
    </row>
    <row r="86" spans="1:27" x14ac:dyDescent="0.25">
      <c r="A86" s="113">
        <v>4</v>
      </c>
      <c r="B86" s="112">
        <v>0</v>
      </c>
      <c r="C86" s="358"/>
    </row>
    <row r="87" spans="1:27" x14ac:dyDescent="0.25">
      <c r="A87" s="113">
        <v>5</v>
      </c>
      <c r="B87" s="112">
        <v>0</v>
      </c>
      <c r="C87" s="358"/>
    </row>
    <row r="88" spans="1:27" ht="15.75" thickBot="1" x14ac:dyDescent="0.3">
      <c r="A88" s="114">
        <v>6</v>
      </c>
      <c r="B88" s="115">
        <v>0</v>
      </c>
      <c r="C88" s="359"/>
    </row>
    <row r="90" spans="1:27" s="92" customFormat="1" ht="15.75" thickBot="1" x14ac:dyDescent="0.3"/>
    <row r="92" spans="1:27" x14ac:dyDescent="0.25">
      <c r="A92" s="132" t="s">
        <v>145</v>
      </c>
    </row>
    <row r="93" spans="1:27" ht="15.75" thickBot="1" x14ac:dyDescent="0.3">
      <c r="A93" s="1"/>
    </row>
    <row r="94" spans="1:27" x14ac:dyDescent="0.25">
      <c r="A94" s="194" t="s">
        <v>18</v>
      </c>
      <c r="B94" s="195">
        <v>0</v>
      </c>
      <c r="C94" s="195">
        <v>1</v>
      </c>
      <c r="D94" s="195">
        <v>2</v>
      </c>
      <c r="E94" s="195">
        <v>3</v>
      </c>
      <c r="F94" s="195">
        <v>4</v>
      </c>
      <c r="G94" s="195">
        <v>5</v>
      </c>
      <c r="H94" s="195">
        <v>6</v>
      </c>
      <c r="I94" s="195">
        <v>7</v>
      </c>
      <c r="J94" s="195">
        <v>8</v>
      </c>
      <c r="K94" s="195">
        <v>9</v>
      </c>
      <c r="L94" s="195">
        <v>10</v>
      </c>
      <c r="M94" s="195">
        <v>11</v>
      </c>
      <c r="N94" s="195">
        <v>12</v>
      </c>
      <c r="O94" s="195">
        <v>13</v>
      </c>
      <c r="P94" s="195">
        <v>14</v>
      </c>
      <c r="Q94" s="195">
        <v>15</v>
      </c>
      <c r="R94" s="195">
        <v>16</v>
      </c>
      <c r="S94" s="195">
        <v>17</v>
      </c>
      <c r="T94" s="195">
        <v>18</v>
      </c>
      <c r="U94" s="195">
        <v>19</v>
      </c>
      <c r="V94" s="195">
        <v>20</v>
      </c>
      <c r="W94" s="195">
        <v>21</v>
      </c>
      <c r="X94" s="195">
        <v>22</v>
      </c>
      <c r="Y94" s="195">
        <v>23</v>
      </c>
      <c r="Z94" s="195">
        <v>24</v>
      </c>
      <c r="AA94" s="196">
        <v>25</v>
      </c>
    </row>
    <row r="95" spans="1:27" x14ac:dyDescent="0.25">
      <c r="A95" s="197" t="s">
        <v>147</v>
      </c>
      <c r="B95" s="192">
        <f>-(B8+B17+B23+B24)/((1+$B$37)^B4)</f>
        <v>24000</v>
      </c>
      <c r="C95" s="192">
        <f t="shared" ref="C95:AA95" si="21">-(C8+C17+C23+C24)/((1+$B$37)^C4)</f>
        <v>776.69902912621353</v>
      </c>
      <c r="D95" s="192">
        <f t="shared" si="21"/>
        <v>754.07672730700347</v>
      </c>
      <c r="E95" s="192">
        <f t="shared" si="21"/>
        <v>732.11332748252767</v>
      </c>
      <c r="F95" s="192">
        <f t="shared" si="21"/>
        <v>710.78963833255114</v>
      </c>
      <c r="G95" s="192">
        <f t="shared" si="21"/>
        <v>690.0870275073313</v>
      </c>
      <c r="H95" s="192">
        <f t="shared" si="21"/>
        <v>669.98740534692354</v>
      </c>
      <c r="I95" s="192">
        <f t="shared" si="21"/>
        <v>650.47320907468304</v>
      </c>
      <c r="J95" s="192">
        <f t="shared" si="21"/>
        <v>631.52738745114857</v>
      </c>
      <c r="K95" s="192">
        <f t="shared" si="21"/>
        <v>613.13338587490159</v>
      </c>
      <c r="L95" s="192">
        <f t="shared" si="21"/>
        <v>595.27513191738012</v>
      </c>
      <c r="M95" s="192">
        <f t="shared" si="21"/>
        <v>577.93702127900985</v>
      </c>
      <c r="N95" s="192">
        <f t="shared" si="21"/>
        <v>561.1039041543786</v>
      </c>
      <c r="O95" s="192">
        <f t="shared" si="21"/>
        <v>544.76107199454236</v>
      </c>
      <c r="P95" s="192">
        <f t="shared" si="21"/>
        <v>528.89424465489537</v>
      </c>
      <c r="Q95" s="192">
        <f t="shared" si="21"/>
        <v>513.4895579173741</v>
      </c>
      <c r="R95" s="192">
        <f t="shared" si="21"/>
        <v>498.53355137609151</v>
      </c>
      <c r="S95" s="192">
        <f t="shared" si="21"/>
        <v>484.01315667581696</v>
      </c>
      <c r="T95" s="192">
        <f t="shared" si="21"/>
        <v>469.91568609302618</v>
      </c>
      <c r="U95" s="192">
        <f t="shared" si="21"/>
        <v>456.22882144954002</v>
      </c>
      <c r="V95" s="192">
        <f t="shared" si="21"/>
        <v>442.940603349068</v>
      </c>
      <c r="W95" s="192">
        <f t="shared" si="21"/>
        <v>430.0394207272505</v>
      </c>
      <c r="X95" s="192">
        <f t="shared" si="21"/>
        <v>417.51400070606843</v>
      </c>
      <c r="Y95" s="192">
        <f t="shared" si="21"/>
        <v>405.35339874375575</v>
      </c>
      <c r="Z95" s="192">
        <f t="shared" si="21"/>
        <v>393.54698907160758</v>
      </c>
      <c r="AA95" s="198">
        <f t="shared" si="21"/>
        <v>382.08445540932775</v>
      </c>
    </row>
    <row r="96" spans="1:27" ht="15.75" thickBot="1" x14ac:dyDescent="0.3">
      <c r="A96" s="199" t="s">
        <v>150</v>
      </c>
      <c r="B96" s="200">
        <f>(B13/$B$46)</f>
        <v>0</v>
      </c>
      <c r="C96" s="200">
        <f>(C13/$B$46)</f>
        <v>54180</v>
      </c>
      <c r="D96" s="200">
        <f>(D13/$B$46)</f>
        <v>53909.1</v>
      </c>
      <c r="E96" s="200">
        <f t="shared" ref="E96:AA96" si="22">(E13/$B$46)</f>
        <v>53639.554499999998</v>
      </c>
      <c r="F96" s="200">
        <f t="shared" si="22"/>
        <v>53371.356727499995</v>
      </c>
      <c r="G96" s="200">
        <f t="shared" si="22"/>
        <v>53104.499943862495</v>
      </c>
      <c r="H96" s="200">
        <f t="shared" si="22"/>
        <v>52838.97744414318</v>
      </c>
      <c r="I96" s="200">
        <f t="shared" si="22"/>
        <v>52574.782556922466</v>
      </c>
      <c r="J96" s="200">
        <f t="shared" si="22"/>
        <v>52311.908644137853</v>
      </c>
      <c r="K96" s="200">
        <f t="shared" si="22"/>
        <v>52050.349100917163</v>
      </c>
      <c r="L96" s="200">
        <f t="shared" si="22"/>
        <v>51790.097355412574</v>
      </c>
      <c r="M96" s="200">
        <f t="shared" si="22"/>
        <v>51531.146868635515</v>
      </c>
      <c r="N96" s="200">
        <f t="shared" si="22"/>
        <v>51273.491134292337</v>
      </c>
      <c r="O96" s="200">
        <f t="shared" si="22"/>
        <v>51017.123678620868</v>
      </c>
      <c r="P96" s="200">
        <f t="shared" si="22"/>
        <v>50762.038060227766</v>
      </c>
      <c r="Q96" s="200">
        <f t="shared" si="22"/>
        <v>50508.227869926624</v>
      </c>
      <c r="R96" s="200">
        <f t="shared" si="22"/>
        <v>50255.686730576985</v>
      </c>
      <c r="S96" s="200">
        <f t="shared" si="22"/>
        <v>50004.408296924099</v>
      </c>
      <c r="T96" s="200">
        <f t="shared" si="22"/>
        <v>49754.38625543948</v>
      </c>
      <c r="U96" s="200">
        <f t="shared" si="22"/>
        <v>49505.614324162285</v>
      </c>
      <c r="V96" s="200">
        <f t="shared" si="22"/>
        <v>49258.08625254147</v>
      </c>
      <c r="W96" s="200">
        <f t="shared" si="22"/>
        <v>49011.795821278763</v>
      </c>
      <c r="X96" s="200">
        <f t="shared" si="22"/>
        <v>48766.736842172373</v>
      </c>
      <c r="Y96" s="200">
        <f t="shared" si="22"/>
        <v>48522.903157961511</v>
      </c>
      <c r="Z96" s="200">
        <f t="shared" si="22"/>
        <v>48280.288642171705</v>
      </c>
      <c r="AA96" s="201">
        <f t="shared" si="22"/>
        <v>48038.887198960845</v>
      </c>
    </row>
    <row r="98" spans="1:2" x14ac:dyDescent="0.25">
      <c r="A98" s="10" t="s">
        <v>148</v>
      </c>
      <c r="B98" s="82">
        <f>SUM(B95:AA95)</f>
        <v>37930.518153022407</v>
      </c>
    </row>
    <row r="99" spans="1:2" x14ac:dyDescent="0.25">
      <c r="A99" s="10" t="s">
        <v>149</v>
      </c>
      <c r="B99" s="47">
        <f>SUM(B96:AA96)</f>
        <v>1276261.4474067886</v>
      </c>
    </row>
    <row r="101" spans="1:2" x14ac:dyDescent="0.25">
      <c r="A101" s="10" t="s">
        <v>146</v>
      </c>
      <c r="B101" s="202">
        <f>B98/B99</f>
        <v>2.9720021889004567E-2</v>
      </c>
    </row>
    <row r="105" spans="1:2" x14ac:dyDescent="0.25">
      <c r="A105" s="132" t="s">
        <v>153</v>
      </c>
    </row>
    <row r="108" spans="1:2" x14ac:dyDescent="0.25">
      <c r="A108" s="10" t="s">
        <v>154</v>
      </c>
      <c r="B108" s="203">
        <f>NPV(B37,B74:Z74)</f>
        <v>0</v>
      </c>
    </row>
    <row r="109" spans="1:2" x14ac:dyDescent="0.25">
      <c r="A109" s="10" t="s">
        <v>155</v>
      </c>
      <c r="B109" s="203">
        <f>NPV(B37,C13:AA13)+NPV(B37,C11:AA11)</f>
        <v>130404.82299701479</v>
      </c>
    </row>
    <row r="110" spans="1:2" x14ac:dyDescent="0.25">
      <c r="B110" s="203"/>
    </row>
  </sheetData>
  <sheetProtection algorithmName="SHA-512" hashValue="tHhxZQNqUYx0s8//4LdvCg2LDvhmU9me1I4ww24rBl2OUqtIIgprPcDL2Fz/zBXs2vJNgZin2szTItKbC8xvAQ==" saltValue="khTlRCeFY9Ww3Ywhm9/AVw==" spinCount="100000" sheet="1" objects="1" scenarios="1"/>
  <mergeCells count="3">
    <mergeCell ref="A43:B43"/>
    <mergeCell ref="E1:J1"/>
    <mergeCell ref="C83:C88"/>
  </mergeCells>
  <pageMargins left="0.7" right="0.7" top="0.75" bottom="0.75" header="0.3" footer="0.3"/>
  <pageSetup paperSize="9" fitToWidth="0" fitToHeight="0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A114"/>
  <sheetViews>
    <sheetView topLeftCell="A79" zoomScale="117" workbookViewId="0">
      <pane xSplit="1" topLeftCell="B1" activePane="topRight" state="frozen"/>
      <selection pane="topRight" activeCell="F87" sqref="F87"/>
    </sheetView>
  </sheetViews>
  <sheetFormatPr defaultColWidth="9.28515625" defaultRowHeight="15" x14ac:dyDescent="0.25"/>
  <cols>
    <col min="1" max="1" width="42.28515625" style="10" customWidth="1"/>
    <col min="2" max="2" width="16.7109375" style="10" customWidth="1"/>
    <col min="3" max="3" width="21.85546875" style="10" customWidth="1"/>
    <col min="4" max="4" width="13.7109375" style="10" bestFit="1" customWidth="1"/>
    <col min="5" max="5" width="17" style="10" customWidth="1"/>
    <col min="6" max="6" width="14.42578125" style="10" customWidth="1"/>
    <col min="7" max="7" width="15.42578125" style="10" customWidth="1"/>
    <col min="8" max="8" width="16.42578125" style="10" customWidth="1"/>
    <col min="9" max="9" width="15.42578125" style="10" customWidth="1"/>
    <col min="10" max="10" width="19" style="10" customWidth="1"/>
    <col min="11" max="22" width="13.7109375" style="10" bestFit="1" customWidth="1"/>
    <col min="23" max="27" width="13" style="10" bestFit="1" customWidth="1"/>
    <col min="28" max="16384" width="9.28515625" style="10"/>
  </cols>
  <sheetData>
    <row r="1" spans="1:27" ht="21" x14ac:dyDescent="0.35">
      <c r="D1" s="48" t="s">
        <v>48</v>
      </c>
      <c r="E1" s="356" t="s">
        <v>19</v>
      </c>
      <c r="F1" s="357"/>
      <c r="G1" s="357"/>
      <c r="H1" s="357"/>
      <c r="I1" s="357"/>
      <c r="J1" s="357"/>
    </row>
    <row r="2" spans="1:27" ht="15.75" thickBot="1" x14ac:dyDescent="0.3"/>
    <row r="3" spans="1:27" ht="15.75" thickBot="1" x14ac:dyDescent="0.3">
      <c r="A3" s="99" t="s">
        <v>71</v>
      </c>
    </row>
    <row r="4" spans="1:27" x14ac:dyDescent="0.25">
      <c r="A4" s="61" t="s">
        <v>18</v>
      </c>
      <c r="B4" s="62">
        <v>0</v>
      </c>
      <c r="C4" s="62">
        <v>1</v>
      </c>
      <c r="D4" s="62">
        <v>2</v>
      </c>
      <c r="E4" s="62">
        <v>3</v>
      </c>
      <c r="F4" s="62">
        <v>4</v>
      </c>
      <c r="G4" s="62">
        <v>5</v>
      </c>
      <c r="H4" s="62">
        <v>6</v>
      </c>
      <c r="I4" s="62">
        <v>7</v>
      </c>
      <c r="J4" s="62">
        <v>8</v>
      </c>
      <c r="K4" s="62">
        <v>9</v>
      </c>
      <c r="L4" s="62">
        <v>10</v>
      </c>
      <c r="M4" s="62">
        <v>11</v>
      </c>
      <c r="N4" s="62">
        <v>12</v>
      </c>
      <c r="O4" s="62">
        <v>13</v>
      </c>
      <c r="P4" s="62">
        <v>14</v>
      </c>
      <c r="Q4" s="62">
        <v>15</v>
      </c>
      <c r="R4" s="62">
        <v>16</v>
      </c>
      <c r="S4" s="62">
        <v>17</v>
      </c>
      <c r="T4" s="62">
        <v>18</v>
      </c>
      <c r="U4" s="62">
        <v>19</v>
      </c>
      <c r="V4" s="62">
        <v>20</v>
      </c>
      <c r="W4" s="62">
        <v>21</v>
      </c>
      <c r="X4" s="62">
        <v>22</v>
      </c>
      <c r="Y4" s="62">
        <v>23</v>
      </c>
      <c r="Z4" s="62">
        <v>24</v>
      </c>
      <c r="AA4" s="63">
        <v>25</v>
      </c>
    </row>
    <row r="5" spans="1:27" x14ac:dyDescent="0.25">
      <c r="A5" s="97" t="s">
        <v>75</v>
      </c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64"/>
    </row>
    <row r="6" spans="1:27" x14ac:dyDescent="0.25">
      <c r="A6" s="78" t="s">
        <v>26</v>
      </c>
      <c r="B6" s="40">
        <v>0</v>
      </c>
      <c r="C6" s="40">
        <f t="shared" ref="C6:AA6" si="0">-$B$55</f>
        <v>-1200</v>
      </c>
      <c r="D6" s="40">
        <f t="shared" si="0"/>
        <v>-1200</v>
      </c>
      <c r="E6" s="40">
        <f t="shared" si="0"/>
        <v>-1200</v>
      </c>
      <c r="F6" s="40">
        <f t="shared" si="0"/>
        <v>-1200</v>
      </c>
      <c r="G6" s="40">
        <f t="shared" si="0"/>
        <v>-1200</v>
      </c>
      <c r="H6" s="40">
        <f t="shared" si="0"/>
        <v>-1200</v>
      </c>
      <c r="I6" s="40">
        <f t="shared" si="0"/>
        <v>-1200</v>
      </c>
      <c r="J6" s="40">
        <f t="shared" si="0"/>
        <v>-1200</v>
      </c>
      <c r="K6" s="40">
        <f t="shared" si="0"/>
        <v>-1200</v>
      </c>
      <c r="L6" s="40">
        <f t="shared" si="0"/>
        <v>-1200</v>
      </c>
      <c r="M6" s="40">
        <f t="shared" si="0"/>
        <v>-1200</v>
      </c>
      <c r="N6" s="40">
        <f t="shared" si="0"/>
        <v>-1200</v>
      </c>
      <c r="O6" s="40">
        <f t="shared" si="0"/>
        <v>-1200</v>
      </c>
      <c r="P6" s="40">
        <f t="shared" si="0"/>
        <v>-1200</v>
      </c>
      <c r="Q6" s="40">
        <f t="shared" si="0"/>
        <v>-1200</v>
      </c>
      <c r="R6" s="40">
        <f t="shared" si="0"/>
        <v>-1200</v>
      </c>
      <c r="S6" s="40">
        <f t="shared" si="0"/>
        <v>-1200</v>
      </c>
      <c r="T6" s="40">
        <f t="shared" si="0"/>
        <v>-1200</v>
      </c>
      <c r="U6" s="40">
        <f t="shared" si="0"/>
        <v>-1200</v>
      </c>
      <c r="V6" s="40">
        <f t="shared" si="0"/>
        <v>-1200</v>
      </c>
      <c r="W6" s="40">
        <f t="shared" si="0"/>
        <v>-1200</v>
      </c>
      <c r="X6" s="40">
        <f t="shared" si="0"/>
        <v>-1200</v>
      </c>
      <c r="Y6" s="40">
        <f t="shared" si="0"/>
        <v>-1200</v>
      </c>
      <c r="Z6" s="40">
        <f t="shared" si="0"/>
        <v>-1200</v>
      </c>
      <c r="AA6" s="65">
        <f t="shared" si="0"/>
        <v>-1200</v>
      </c>
    </row>
    <row r="7" spans="1:27" x14ac:dyDescent="0.25">
      <c r="A7" s="78" t="s">
        <v>56</v>
      </c>
      <c r="B7" s="40">
        <f>-B49</f>
        <v>-310</v>
      </c>
      <c r="C7" s="40">
        <v>0</v>
      </c>
      <c r="D7" s="40">
        <v>0</v>
      </c>
      <c r="E7" s="40">
        <v>0</v>
      </c>
      <c r="F7" s="40">
        <v>0</v>
      </c>
      <c r="G7" s="40">
        <v>0</v>
      </c>
      <c r="H7" s="40">
        <v>0</v>
      </c>
      <c r="I7" s="40">
        <v>0</v>
      </c>
      <c r="J7" s="40">
        <v>0</v>
      </c>
      <c r="K7" s="40">
        <v>0</v>
      </c>
      <c r="L7" s="40">
        <v>0</v>
      </c>
      <c r="M7" s="40">
        <v>0</v>
      </c>
      <c r="N7" s="40">
        <v>0</v>
      </c>
      <c r="O7" s="40">
        <v>0</v>
      </c>
      <c r="P7" s="40">
        <v>0</v>
      </c>
      <c r="Q7" s="40">
        <v>0</v>
      </c>
      <c r="R7" s="40">
        <v>0</v>
      </c>
      <c r="S7" s="40">
        <v>0</v>
      </c>
      <c r="T7" s="40">
        <v>0</v>
      </c>
      <c r="U7" s="40">
        <v>0</v>
      </c>
      <c r="V7" s="40">
        <v>0</v>
      </c>
      <c r="W7" s="40">
        <v>0</v>
      </c>
      <c r="X7" s="40">
        <v>0</v>
      </c>
      <c r="Y7" s="40">
        <v>0</v>
      </c>
      <c r="Z7" s="40">
        <v>0</v>
      </c>
      <c r="AA7" s="65">
        <v>0</v>
      </c>
    </row>
    <row r="8" spans="1:27" ht="15.75" thickBot="1" x14ac:dyDescent="0.3">
      <c r="A8" s="100" t="s">
        <v>28</v>
      </c>
      <c r="B8" s="93">
        <f t="shared" ref="B8:AA8" si="1">SUM(B6:B7)</f>
        <v>-310</v>
      </c>
      <c r="C8" s="94">
        <f t="shared" si="1"/>
        <v>-1200</v>
      </c>
      <c r="D8" s="94">
        <f t="shared" si="1"/>
        <v>-1200</v>
      </c>
      <c r="E8" s="94">
        <f t="shared" si="1"/>
        <v>-1200</v>
      </c>
      <c r="F8" s="94">
        <f t="shared" si="1"/>
        <v>-1200</v>
      </c>
      <c r="G8" s="94">
        <f t="shared" si="1"/>
        <v>-1200</v>
      </c>
      <c r="H8" s="94">
        <f t="shared" si="1"/>
        <v>-1200</v>
      </c>
      <c r="I8" s="94">
        <f t="shared" si="1"/>
        <v>-1200</v>
      </c>
      <c r="J8" s="94">
        <f t="shared" si="1"/>
        <v>-1200</v>
      </c>
      <c r="K8" s="94">
        <f t="shared" si="1"/>
        <v>-1200</v>
      </c>
      <c r="L8" s="94">
        <f t="shared" si="1"/>
        <v>-1200</v>
      </c>
      <c r="M8" s="94">
        <f t="shared" si="1"/>
        <v>-1200</v>
      </c>
      <c r="N8" s="94">
        <f t="shared" si="1"/>
        <v>-1200</v>
      </c>
      <c r="O8" s="94">
        <f t="shared" si="1"/>
        <v>-1200</v>
      </c>
      <c r="P8" s="94">
        <f t="shared" si="1"/>
        <v>-1200</v>
      </c>
      <c r="Q8" s="94">
        <f t="shared" si="1"/>
        <v>-1200</v>
      </c>
      <c r="R8" s="94">
        <f t="shared" si="1"/>
        <v>-1200</v>
      </c>
      <c r="S8" s="94">
        <f t="shared" si="1"/>
        <v>-1200</v>
      </c>
      <c r="T8" s="94">
        <f t="shared" si="1"/>
        <v>-1200</v>
      </c>
      <c r="U8" s="94">
        <f t="shared" si="1"/>
        <v>-1200</v>
      </c>
      <c r="V8" s="94">
        <f t="shared" si="1"/>
        <v>-1200</v>
      </c>
      <c r="W8" s="94">
        <f t="shared" si="1"/>
        <v>-1200</v>
      </c>
      <c r="X8" s="94">
        <f t="shared" si="1"/>
        <v>-1200</v>
      </c>
      <c r="Y8" s="94">
        <f t="shared" si="1"/>
        <v>-1200</v>
      </c>
      <c r="Z8" s="94">
        <f t="shared" si="1"/>
        <v>-1200</v>
      </c>
      <c r="AA8" s="95">
        <f t="shared" si="1"/>
        <v>-1200</v>
      </c>
    </row>
    <row r="9" spans="1:27" x14ac:dyDescent="0.25">
      <c r="A9" s="103" t="s">
        <v>20</v>
      </c>
      <c r="B9" s="104"/>
      <c r="C9" s="104"/>
      <c r="D9" s="104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5"/>
    </row>
    <row r="10" spans="1:27" x14ac:dyDescent="0.25">
      <c r="A10" s="96" t="s">
        <v>85</v>
      </c>
      <c r="B10" s="109"/>
      <c r="C10" s="110">
        <f>-B83*$B$54</f>
        <v>-11100</v>
      </c>
      <c r="D10" s="110">
        <f>-B84*B54</f>
        <v>-17760</v>
      </c>
      <c r="E10" s="110">
        <f>-B85*B54</f>
        <v>-10656</v>
      </c>
      <c r="F10" s="110">
        <f>-B86*B54</f>
        <v>-6393.5999999999995</v>
      </c>
      <c r="G10" s="110">
        <f>-B87*B54</f>
        <v>-6393.5999999999995</v>
      </c>
      <c r="H10" s="110">
        <f>-B88*B54</f>
        <v>-3196.7999999999997</v>
      </c>
      <c r="I10" s="109"/>
      <c r="J10" s="109"/>
      <c r="K10" s="109"/>
      <c r="L10" s="109"/>
      <c r="M10" s="109"/>
      <c r="N10" s="109"/>
      <c r="O10" s="109"/>
      <c r="P10" s="109"/>
      <c r="Q10" s="109"/>
      <c r="R10" s="109"/>
      <c r="S10" s="109"/>
      <c r="T10" s="109"/>
      <c r="U10" s="109"/>
      <c r="V10" s="109"/>
      <c r="W10" s="109"/>
      <c r="X10" s="109"/>
      <c r="Y10" s="109"/>
      <c r="Z10" s="109"/>
      <c r="AA10" s="111"/>
    </row>
    <row r="11" spans="1:27" x14ac:dyDescent="0.25">
      <c r="A11" s="78" t="s">
        <v>32</v>
      </c>
      <c r="B11" s="41">
        <v>0</v>
      </c>
      <c r="C11" s="41">
        <f>$B$45*$B$47</f>
        <v>1611.816</v>
      </c>
      <c r="D11" s="41">
        <f t="shared" ref="D11:AA11" si="2">C11*(1-$B$56)</f>
        <v>1603.75692</v>
      </c>
      <c r="E11" s="41">
        <f t="shared" si="2"/>
        <v>1595.7381353999999</v>
      </c>
      <c r="F11" s="41">
        <f t="shared" si="2"/>
        <v>1587.7594447229999</v>
      </c>
      <c r="G11" s="41">
        <f t="shared" si="2"/>
        <v>1579.8206474993849</v>
      </c>
      <c r="H11" s="41">
        <f t="shared" si="2"/>
        <v>1571.9215442618879</v>
      </c>
      <c r="I11" s="41">
        <f t="shared" si="2"/>
        <v>1564.0619365405785</v>
      </c>
      <c r="J11" s="41">
        <f t="shared" si="2"/>
        <v>1556.2416268578756</v>
      </c>
      <c r="K11" s="41">
        <f t="shared" si="2"/>
        <v>1548.4604187235864</v>
      </c>
      <c r="L11" s="41">
        <f t="shared" si="2"/>
        <v>1540.7181166299683</v>
      </c>
      <c r="M11" s="41">
        <f t="shared" si="2"/>
        <v>1533.0145260468184</v>
      </c>
      <c r="N11" s="41">
        <f t="shared" si="2"/>
        <v>1525.3494534165843</v>
      </c>
      <c r="O11" s="41">
        <f t="shared" si="2"/>
        <v>1517.7227061495014</v>
      </c>
      <c r="P11" s="41">
        <f t="shared" si="2"/>
        <v>1510.1340926187538</v>
      </c>
      <c r="Q11" s="41">
        <f t="shared" si="2"/>
        <v>1502.5834221556599</v>
      </c>
      <c r="R11" s="41">
        <f t="shared" si="2"/>
        <v>1495.0705050448817</v>
      </c>
      <c r="S11" s="41">
        <f t="shared" si="2"/>
        <v>1487.5951525196572</v>
      </c>
      <c r="T11" s="41">
        <f t="shared" si="2"/>
        <v>1480.1571767570588</v>
      </c>
      <c r="U11" s="41">
        <f t="shared" si="2"/>
        <v>1472.7563908732734</v>
      </c>
      <c r="V11" s="41">
        <f t="shared" si="2"/>
        <v>1465.3926089189069</v>
      </c>
      <c r="W11" s="41">
        <f t="shared" si="2"/>
        <v>1458.0656458743124</v>
      </c>
      <c r="X11" s="41">
        <f t="shared" si="2"/>
        <v>1450.7753176449407</v>
      </c>
      <c r="Y11" s="41">
        <f t="shared" si="2"/>
        <v>1443.521441056716</v>
      </c>
      <c r="Z11" s="41">
        <f t="shared" si="2"/>
        <v>1436.3038338514323</v>
      </c>
      <c r="AA11" s="66">
        <f t="shared" si="2"/>
        <v>1429.1223146821751</v>
      </c>
    </row>
    <row r="12" spans="1:27" x14ac:dyDescent="0.25">
      <c r="A12" s="78" t="s">
        <v>33</v>
      </c>
      <c r="B12" s="41">
        <v>0</v>
      </c>
      <c r="C12" s="41">
        <f>($B$44/1000)*$B$57</f>
        <v>654.048</v>
      </c>
      <c r="D12" s="41">
        <f t="shared" ref="D12:AA12" si="3">($B$44/1000)*$B$57</f>
        <v>654.048</v>
      </c>
      <c r="E12" s="41">
        <f t="shared" si="3"/>
        <v>654.048</v>
      </c>
      <c r="F12" s="41">
        <f t="shared" si="3"/>
        <v>654.048</v>
      </c>
      <c r="G12" s="41">
        <f t="shared" si="3"/>
        <v>654.048</v>
      </c>
      <c r="H12" s="41">
        <f t="shared" si="3"/>
        <v>654.048</v>
      </c>
      <c r="I12" s="41">
        <f t="shared" si="3"/>
        <v>654.048</v>
      </c>
      <c r="J12" s="41">
        <f t="shared" si="3"/>
        <v>654.048</v>
      </c>
      <c r="K12" s="41">
        <f t="shared" si="3"/>
        <v>654.048</v>
      </c>
      <c r="L12" s="41">
        <f t="shared" si="3"/>
        <v>654.048</v>
      </c>
      <c r="M12" s="41">
        <f t="shared" si="3"/>
        <v>654.048</v>
      </c>
      <c r="N12" s="41">
        <f t="shared" si="3"/>
        <v>654.048</v>
      </c>
      <c r="O12" s="41">
        <f t="shared" si="3"/>
        <v>654.048</v>
      </c>
      <c r="P12" s="41">
        <f t="shared" si="3"/>
        <v>654.048</v>
      </c>
      <c r="Q12" s="41">
        <f t="shared" si="3"/>
        <v>654.048</v>
      </c>
      <c r="R12" s="41">
        <f t="shared" si="3"/>
        <v>654.048</v>
      </c>
      <c r="S12" s="41">
        <f t="shared" si="3"/>
        <v>654.048</v>
      </c>
      <c r="T12" s="41">
        <f t="shared" si="3"/>
        <v>654.048</v>
      </c>
      <c r="U12" s="41">
        <f t="shared" si="3"/>
        <v>654.048</v>
      </c>
      <c r="V12" s="41">
        <f t="shared" si="3"/>
        <v>654.048</v>
      </c>
      <c r="W12" s="41">
        <f t="shared" si="3"/>
        <v>654.048</v>
      </c>
      <c r="X12" s="41">
        <f t="shared" si="3"/>
        <v>654.048</v>
      </c>
      <c r="Y12" s="41">
        <f t="shared" si="3"/>
        <v>654.048</v>
      </c>
      <c r="Z12" s="41">
        <f t="shared" si="3"/>
        <v>654.048</v>
      </c>
      <c r="AA12" s="66">
        <f t="shared" si="3"/>
        <v>654.048</v>
      </c>
    </row>
    <row r="13" spans="1:27" x14ac:dyDescent="0.25">
      <c r="A13" s="78" t="s">
        <v>21</v>
      </c>
      <c r="B13" s="40">
        <v>0</v>
      </c>
      <c r="C13" s="40">
        <f>$B$44*$B$46</f>
        <v>5821.0272000000004</v>
      </c>
      <c r="D13" s="40">
        <f>C13*(1-0.005)</f>
        <v>5791.9220640000003</v>
      </c>
      <c r="E13" s="40">
        <f t="shared" ref="E13:AA13" si="4">D13*(1-0.005)</f>
        <v>5762.9624536800002</v>
      </c>
      <c r="F13" s="40">
        <f t="shared" si="4"/>
        <v>5734.1476414116005</v>
      </c>
      <c r="G13" s="40">
        <f t="shared" si="4"/>
        <v>5705.4769032045424</v>
      </c>
      <c r="H13" s="40">
        <f t="shared" si="4"/>
        <v>5676.9495186885197</v>
      </c>
      <c r="I13" s="40">
        <f t="shared" si="4"/>
        <v>5648.564771095077</v>
      </c>
      <c r="J13" s="40">
        <f t="shared" si="4"/>
        <v>5620.3219472396013</v>
      </c>
      <c r="K13" s="40">
        <f t="shared" si="4"/>
        <v>5592.2203375034032</v>
      </c>
      <c r="L13" s="40">
        <f t="shared" si="4"/>
        <v>5564.2592358158863</v>
      </c>
      <c r="M13" s="40">
        <f t="shared" si="4"/>
        <v>5536.4379396368067</v>
      </c>
      <c r="N13" s="40">
        <f t="shared" si="4"/>
        <v>5508.755749938623</v>
      </c>
      <c r="O13" s="40">
        <f t="shared" si="4"/>
        <v>5481.21197118893</v>
      </c>
      <c r="P13" s="40">
        <f t="shared" si="4"/>
        <v>5453.8059113329855</v>
      </c>
      <c r="Q13" s="40">
        <f t="shared" si="4"/>
        <v>5426.5368817763201</v>
      </c>
      <c r="R13" s="40">
        <f t="shared" si="4"/>
        <v>5399.4041973674384</v>
      </c>
      <c r="S13" s="40">
        <f t="shared" si="4"/>
        <v>5372.4071763806014</v>
      </c>
      <c r="T13" s="40">
        <f t="shared" si="4"/>
        <v>5345.5451404986979</v>
      </c>
      <c r="U13" s="40">
        <f t="shared" si="4"/>
        <v>5318.8174147962045</v>
      </c>
      <c r="V13" s="40">
        <f t="shared" si="4"/>
        <v>5292.2233277222231</v>
      </c>
      <c r="W13" s="40">
        <f t="shared" si="4"/>
        <v>5265.7622110836119</v>
      </c>
      <c r="X13" s="40">
        <f t="shared" si="4"/>
        <v>5239.4334000281942</v>
      </c>
      <c r="Y13" s="40">
        <f t="shared" si="4"/>
        <v>5213.236233028053</v>
      </c>
      <c r="Z13" s="40">
        <f t="shared" si="4"/>
        <v>5187.1700518629123</v>
      </c>
      <c r="AA13" s="65">
        <f t="shared" si="4"/>
        <v>5161.2342016035973</v>
      </c>
    </row>
    <row r="14" spans="1:27" x14ac:dyDescent="0.25">
      <c r="A14" s="78" t="s">
        <v>0</v>
      </c>
      <c r="B14" s="40">
        <v>0</v>
      </c>
      <c r="C14" s="40">
        <v>0</v>
      </c>
      <c r="D14" s="40">
        <v>0</v>
      </c>
      <c r="E14" s="40">
        <v>0</v>
      </c>
      <c r="F14" s="40">
        <v>0</v>
      </c>
      <c r="G14" s="40">
        <v>0</v>
      </c>
      <c r="H14" s="40">
        <v>0</v>
      </c>
      <c r="I14" s="40">
        <v>0</v>
      </c>
      <c r="J14" s="40">
        <v>0</v>
      </c>
      <c r="K14" s="40">
        <v>0</v>
      </c>
      <c r="L14" s="40">
        <v>0</v>
      </c>
      <c r="M14" s="40">
        <v>0</v>
      </c>
      <c r="N14" s="40">
        <v>0</v>
      </c>
      <c r="O14" s="40">
        <v>0</v>
      </c>
      <c r="P14" s="40">
        <v>0</v>
      </c>
      <c r="Q14" s="40">
        <v>0</v>
      </c>
      <c r="R14" s="40">
        <v>0</v>
      </c>
      <c r="S14" s="40">
        <v>0</v>
      </c>
      <c r="T14" s="40">
        <v>0</v>
      </c>
      <c r="U14" s="40">
        <v>0</v>
      </c>
      <c r="V14" s="40">
        <v>0</v>
      </c>
      <c r="W14" s="40">
        <v>0</v>
      </c>
      <c r="X14" s="40">
        <v>0</v>
      </c>
      <c r="Y14" s="40">
        <v>0</v>
      </c>
      <c r="Z14" s="40">
        <v>0</v>
      </c>
      <c r="AA14" s="65">
        <v>0</v>
      </c>
    </row>
    <row r="15" spans="1:27" x14ac:dyDescent="0.25">
      <c r="A15" s="98" t="s">
        <v>76</v>
      </c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67"/>
    </row>
    <row r="16" spans="1:27" s="1" customFormat="1" x14ac:dyDescent="0.25">
      <c r="A16" s="96" t="s">
        <v>79</v>
      </c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65">
        <v>0</v>
      </c>
    </row>
    <row r="17" spans="1:27" ht="15.75" thickBot="1" x14ac:dyDescent="0.3">
      <c r="A17" s="232" t="s">
        <v>162</v>
      </c>
      <c r="B17" s="94">
        <v>0</v>
      </c>
      <c r="C17" s="94">
        <f t="shared" ref="C17:AA17" si="5">-B75</f>
        <v>-277.5</v>
      </c>
      <c r="D17" s="94">
        <f t="shared" si="5"/>
        <v>-250.97597375705001</v>
      </c>
      <c r="E17" s="94">
        <f t="shared" si="5"/>
        <v>-224.18670725167053</v>
      </c>
      <c r="F17" s="94">
        <f t="shared" si="5"/>
        <v>-197.12954808123723</v>
      </c>
      <c r="G17" s="94">
        <f t="shared" si="5"/>
        <v>-169.80181731909963</v>
      </c>
      <c r="H17" s="94">
        <f t="shared" si="5"/>
        <v>-142.20080924934061</v>
      </c>
      <c r="I17" s="94">
        <f t="shared" si="5"/>
        <v>-114.32379109888402</v>
      </c>
      <c r="J17" s="94">
        <f t="shared" si="5"/>
        <v>-86.168002766922854</v>
      </c>
      <c r="K17" s="94">
        <f t="shared" si="5"/>
        <v>-57.730656551642085</v>
      </c>
      <c r="L17" s="94">
        <f t="shared" si="5"/>
        <v>-29.008936874208512</v>
      </c>
      <c r="M17" s="94">
        <f t="shared" si="5"/>
        <v>-6.0026650317013267E-13</v>
      </c>
      <c r="N17" s="94">
        <f t="shared" si="5"/>
        <v>-6.0626916820183394E-13</v>
      </c>
      <c r="O17" s="94">
        <f t="shared" si="5"/>
        <v>-6.1233185988385233E-13</v>
      </c>
      <c r="P17" s="94">
        <f t="shared" si="5"/>
        <v>-6.1845517848269081E-13</v>
      </c>
      <c r="Q17" s="94">
        <f t="shared" si="5"/>
        <v>-6.2463973026751764E-13</v>
      </c>
      <c r="R17" s="94">
        <f t="shared" si="5"/>
        <v>-6.3088612757019277E-13</v>
      </c>
      <c r="S17" s="94">
        <f t="shared" si="5"/>
        <v>-6.3719498884589474E-13</v>
      </c>
      <c r="T17" s="94">
        <f t="shared" si="5"/>
        <v>-6.4356693873435371E-13</v>
      </c>
      <c r="U17" s="94">
        <f t="shared" si="5"/>
        <v>-6.5000260812169732E-13</v>
      </c>
      <c r="V17" s="94">
        <f t="shared" si="5"/>
        <v>-6.5650263420291431E-13</v>
      </c>
      <c r="W17" s="94">
        <f t="shared" si="5"/>
        <v>-6.6306766054494346E-13</v>
      </c>
      <c r="X17" s="94">
        <f t="shared" si="5"/>
        <v>-6.6969833715039292E-13</v>
      </c>
      <c r="Y17" s="94">
        <f t="shared" si="5"/>
        <v>-6.7639532052189685E-13</v>
      </c>
      <c r="Z17" s="94">
        <f t="shared" si="5"/>
        <v>-6.8315927372711583E-13</v>
      </c>
      <c r="AA17" s="95">
        <f t="shared" si="5"/>
        <v>-6.8999086646438705E-13</v>
      </c>
    </row>
    <row r="18" spans="1:27" x14ac:dyDescent="0.25">
      <c r="A18" s="119" t="s">
        <v>72</v>
      </c>
      <c r="B18" s="42">
        <f>SUM(B8:B17)-B11</f>
        <v>-310</v>
      </c>
      <c r="C18" s="42">
        <f t="shared" ref="C18:AA18" si="6">SUM(C8:C17)-C11</f>
        <v>-6102.424799999998</v>
      </c>
      <c r="D18" s="42">
        <f t="shared" si="6"/>
        <v>-12765.00590975705</v>
      </c>
      <c r="E18" s="42">
        <f t="shared" si="6"/>
        <v>-5663.1762535716707</v>
      </c>
      <c r="F18" s="42">
        <f t="shared" si="6"/>
        <v>-1402.533906669637</v>
      </c>
      <c r="G18" s="42">
        <f t="shared" si="6"/>
        <v>-1403.8769141145569</v>
      </c>
      <c r="H18" s="42">
        <f>SUM(H8:H17)-H11</f>
        <v>1791.9967094391795</v>
      </c>
      <c r="I18" s="42">
        <f t="shared" si="6"/>
        <v>4988.2889799961931</v>
      </c>
      <c r="J18" s="42">
        <f t="shared" si="6"/>
        <v>4988.2019444726784</v>
      </c>
      <c r="K18" s="42">
        <f t="shared" si="6"/>
        <v>4988.5376809517611</v>
      </c>
      <c r="L18" s="42">
        <f t="shared" si="6"/>
        <v>4989.2982989416778</v>
      </c>
      <c r="M18" s="42">
        <f t="shared" si="6"/>
        <v>4990.4859396368065</v>
      </c>
      <c r="N18" s="42">
        <f t="shared" si="6"/>
        <v>4962.8037499386228</v>
      </c>
      <c r="O18" s="42">
        <f t="shared" si="6"/>
        <v>4935.2599711889288</v>
      </c>
      <c r="P18" s="42">
        <f t="shared" si="6"/>
        <v>4907.8539113329844</v>
      </c>
      <c r="Q18" s="42">
        <f t="shared" si="6"/>
        <v>4880.584881776319</v>
      </c>
      <c r="R18" s="42">
        <f t="shared" si="6"/>
        <v>4853.4521973674373</v>
      </c>
      <c r="S18" s="42">
        <f t="shared" si="6"/>
        <v>4826.4551763806012</v>
      </c>
      <c r="T18" s="42">
        <f t="shared" si="6"/>
        <v>4799.5931404986977</v>
      </c>
      <c r="U18" s="42">
        <f t="shared" si="6"/>
        <v>4772.8654147962034</v>
      </c>
      <c r="V18" s="42">
        <f t="shared" si="6"/>
        <v>4746.2713277222219</v>
      </c>
      <c r="W18" s="42">
        <f t="shared" si="6"/>
        <v>4719.8102110836107</v>
      </c>
      <c r="X18" s="42">
        <f t="shared" si="6"/>
        <v>4693.481400028194</v>
      </c>
      <c r="Y18" s="42">
        <f t="shared" si="6"/>
        <v>4667.2842330280519</v>
      </c>
      <c r="Z18" s="42">
        <f t="shared" si="6"/>
        <v>4641.2180518629111</v>
      </c>
      <c r="AA18" s="42">
        <f t="shared" si="6"/>
        <v>4615.2822016035971</v>
      </c>
    </row>
    <row r="19" spans="1:27" ht="15.75" thickBot="1" x14ac:dyDescent="0.3">
      <c r="A19" s="102" t="s">
        <v>73</v>
      </c>
      <c r="B19" s="91">
        <f t="shared" ref="B19:AA19" si="7">-$B$58*B18</f>
        <v>124</v>
      </c>
      <c r="C19" s="91">
        <f t="shared" si="7"/>
        <v>2440.9699199999991</v>
      </c>
      <c r="D19" s="91">
        <f t="shared" si="7"/>
        <v>5106.0023639028204</v>
      </c>
      <c r="E19" s="91">
        <f t="shared" si="7"/>
        <v>2265.2705014286685</v>
      </c>
      <c r="F19" s="91">
        <f t="shared" si="7"/>
        <v>561.01356266785479</v>
      </c>
      <c r="G19" s="91">
        <f t="shared" si="7"/>
        <v>561.55076564582282</v>
      </c>
      <c r="H19" s="91">
        <f t="shared" si="7"/>
        <v>-716.79868377567186</v>
      </c>
      <c r="I19" s="91">
        <f t="shared" si="7"/>
        <v>-1995.3155919984774</v>
      </c>
      <c r="J19" s="91">
        <f t="shared" si="7"/>
        <v>-1995.2807777890714</v>
      </c>
      <c r="K19" s="91">
        <f t="shared" si="7"/>
        <v>-1995.4150723807045</v>
      </c>
      <c r="L19" s="91">
        <f t="shared" si="7"/>
        <v>-1995.7193195766713</v>
      </c>
      <c r="M19" s="91">
        <f t="shared" si="7"/>
        <v>-1996.1943758547227</v>
      </c>
      <c r="N19" s="91">
        <f t="shared" si="7"/>
        <v>-1985.1214999754493</v>
      </c>
      <c r="O19" s="91">
        <f t="shared" si="7"/>
        <v>-1974.1039884755717</v>
      </c>
      <c r="P19" s="91">
        <f t="shared" si="7"/>
        <v>-1963.1415645331938</v>
      </c>
      <c r="Q19" s="91">
        <f t="shared" si="7"/>
        <v>-1952.2339527105278</v>
      </c>
      <c r="R19" s="91">
        <f t="shared" si="7"/>
        <v>-1941.3808789469749</v>
      </c>
      <c r="S19" s="91">
        <f t="shared" si="7"/>
        <v>-1930.5820705522406</v>
      </c>
      <c r="T19" s="91">
        <f t="shared" si="7"/>
        <v>-1919.8372561994793</v>
      </c>
      <c r="U19" s="91">
        <f t="shared" si="7"/>
        <v>-1909.1461659184815</v>
      </c>
      <c r="V19" s="91">
        <f t="shared" si="7"/>
        <v>-1898.508531088889</v>
      </c>
      <c r="W19" s="91">
        <f t="shared" si="7"/>
        <v>-1887.9240844334445</v>
      </c>
      <c r="X19" s="91">
        <f t="shared" si="7"/>
        <v>-1877.3925600112777</v>
      </c>
      <c r="Y19" s="91">
        <f t="shared" si="7"/>
        <v>-1866.9136932112208</v>
      </c>
      <c r="Z19" s="91">
        <f t="shared" si="7"/>
        <v>-1856.4872207451644</v>
      </c>
      <c r="AA19" s="107">
        <f t="shared" si="7"/>
        <v>-1846.112880641439</v>
      </c>
    </row>
    <row r="20" spans="1:27" ht="15.75" thickBot="1" x14ac:dyDescent="0.3">
      <c r="A20" s="120" t="s">
        <v>90</v>
      </c>
      <c r="B20" s="121">
        <f t="shared" ref="B20:AA20" si="8">B18+B19</f>
        <v>-186</v>
      </c>
      <c r="C20" s="121">
        <f t="shared" si="8"/>
        <v>-3661.4548799999989</v>
      </c>
      <c r="D20" s="121">
        <f t="shared" si="8"/>
        <v>-7659.0035458542297</v>
      </c>
      <c r="E20" s="121">
        <f t="shared" si="8"/>
        <v>-3397.9057521430022</v>
      </c>
      <c r="F20" s="121">
        <f t="shared" si="8"/>
        <v>-841.52034400178218</v>
      </c>
      <c r="G20" s="121">
        <f t="shared" si="8"/>
        <v>-842.32614846873412</v>
      </c>
      <c r="H20" s="121">
        <f t="shared" si="8"/>
        <v>1075.1980256635077</v>
      </c>
      <c r="I20" s="121">
        <f t="shared" si="8"/>
        <v>2992.9733879977157</v>
      </c>
      <c r="J20" s="121">
        <f t="shared" si="8"/>
        <v>2992.9211666836072</v>
      </c>
      <c r="K20" s="121">
        <f t="shared" si="8"/>
        <v>2993.1226085710568</v>
      </c>
      <c r="L20" s="121">
        <f t="shared" si="8"/>
        <v>2993.5789793650065</v>
      </c>
      <c r="M20" s="121">
        <f t="shared" si="8"/>
        <v>2994.2915637820838</v>
      </c>
      <c r="N20" s="121">
        <f t="shared" si="8"/>
        <v>2977.6822499631735</v>
      </c>
      <c r="O20" s="121">
        <f t="shared" si="8"/>
        <v>2961.1559827133569</v>
      </c>
      <c r="P20" s="121">
        <f t="shared" si="8"/>
        <v>2944.7123467997908</v>
      </c>
      <c r="Q20" s="121">
        <f t="shared" si="8"/>
        <v>2928.3509290657912</v>
      </c>
      <c r="R20" s="121">
        <f t="shared" si="8"/>
        <v>2912.0713184204624</v>
      </c>
      <c r="S20" s="121">
        <f t="shared" si="8"/>
        <v>2895.8731058283606</v>
      </c>
      <c r="T20" s="121">
        <f t="shared" si="8"/>
        <v>2879.7558842992185</v>
      </c>
      <c r="U20" s="121">
        <f t="shared" si="8"/>
        <v>2863.7192488777218</v>
      </c>
      <c r="V20" s="121">
        <f t="shared" si="8"/>
        <v>2847.762796633333</v>
      </c>
      <c r="W20" s="121">
        <f t="shared" si="8"/>
        <v>2831.8861266501663</v>
      </c>
      <c r="X20" s="121">
        <f t="shared" si="8"/>
        <v>2816.088840016916</v>
      </c>
      <c r="Y20" s="121">
        <f t="shared" si="8"/>
        <v>2800.3705398168313</v>
      </c>
      <c r="Z20" s="121">
        <f t="shared" si="8"/>
        <v>2784.7308311177467</v>
      </c>
      <c r="AA20" s="122">
        <f t="shared" si="8"/>
        <v>2769.1693209621581</v>
      </c>
    </row>
    <row r="21" spans="1:27" x14ac:dyDescent="0.25">
      <c r="A21" s="101" t="s">
        <v>77</v>
      </c>
      <c r="B21" s="40"/>
      <c r="C21" s="40">
        <f>-C10</f>
        <v>11100</v>
      </c>
      <c r="D21" s="40">
        <f t="shared" ref="D21:H21" si="9">-D10</f>
        <v>17760</v>
      </c>
      <c r="E21" s="40">
        <f t="shared" si="9"/>
        <v>10656</v>
      </c>
      <c r="F21" s="40">
        <f t="shared" si="9"/>
        <v>6393.5999999999995</v>
      </c>
      <c r="G21" s="40">
        <f t="shared" si="9"/>
        <v>6393.5999999999995</v>
      </c>
      <c r="H21" s="40">
        <f t="shared" si="9"/>
        <v>3196.7999999999997</v>
      </c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</row>
    <row r="22" spans="1:27" x14ac:dyDescent="0.25">
      <c r="A22" s="101" t="s">
        <v>78</v>
      </c>
      <c r="B22" s="43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68"/>
    </row>
    <row r="23" spans="1:27" x14ac:dyDescent="0.25">
      <c r="A23" s="101" t="s">
        <v>80</v>
      </c>
      <c r="B23" s="42"/>
      <c r="C23" s="40">
        <f t="shared" ref="C23:AA23" si="10">-B76</f>
        <v>-2652.4026242949994</v>
      </c>
      <c r="D23" s="40">
        <f t="shared" si="10"/>
        <v>-2678.9266505379496</v>
      </c>
      <c r="E23" s="40">
        <f t="shared" si="10"/>
        <v>-2705.7159170433288</v>
      </c>
      <c r="F23" s="40">
        <f t="shared" si="10"/>
        <v>-2732.7730762137621</v>
      </c>
      <c r="G23" s="40">
        <f t="shared" si="10"/>
        <v>-2760.1008069759</v>
      </c>
      <c r="H23" s="40">
        <f t="shared" si="10"/>
        <v>-2787.7018150456588</v>
      </c>
      <c r="I23" s="40">
        <f t="shared" si="10"/>
        <v>-2815.5788331961153</v>
      </c>
      <c r="J23" s="40">
        <f t="shared" si="10"/>
        <v>-2843.7346215280768</v>
      </c>
      <c r="K23" s="40">
        <f t="shared" si="10"/>
        <v>-2872.1719677433575</v>
      </c>
      <c r="L23" s="40">
        <f t="shared" si="10"/>
        <v>-2900.8936874207911</v>
      </c>
      <c r="M23" s="40">
        <f t="shared" si="10"/>
        <v>6.0026650317013267E-13</v>
      </c>
      <c r="N23" s="40">
        <f t="shared" si="10"/>
        <v>6.0626916820183394E-13</v>
      </c>
      <c r="O23" s="40">
        <f t="shared" si="10"/>
        <v>6.1233185988385233E-13</v>
      </c>
      <c r="P23" s="40">
        <f t="shared" si="10"/>
        <v>6.1845517848269081E-13</v>
      </c>
      <c r="Q23" s="40">
        <f t="shared" si="10"/>
        <v>6.2463973026751764E-13</v>
      </c>
      <c r="R23" s="40">
        <f t="shared" si="10"/>
        <v>6.3088612757019277E-13</v>
      </c>
      <c r="S23" s="40">
        <f t="shared" si="10"/>
        <v>6.3719498884589474E-13</v>
      </c>
      <c r="T23" s="40">
        <f t="shared" si="10"/>
        <v>6.4356693873435371E-13</v>
      </c>
      <c r="U23" s="40">
        <f t="shared" si="10"/>
        <v>6.5000260812169732E-13</v>
      </c>
      <c r="V23" s="40">
        <f t="shared" si="10"/>
        <v>6.5650263420291431E-13</v>
      </c>
      <c r="W23" s="40">
        <f t="shared" si="10"/>
        <v>6.6306766054494346E-13</v>
      </c>
      <c r="X23" s="40">
        <f t="shared" si="10"/>
        <v>6.6969833715039292E-13</v>
      </c>
      <c r="Y23" s="40">
        <f t="shared" si="10"/>
        <v>6.7639532052189685E-13</v>
      </c>
      <c r="Z23" s="40">
        <f t="shared" si="10"/>
        <v>6.8315927372711583E-13</v>
      </c>
      <c r="AA23" s="40">
        <f t="shared" si="10"/>
        <v>6.8999086646438705E-13</v>
      </c>
    </row>
    <row r="24" spans="1:27" x14ac:dyDescent="0.25">
      <c r="A24" s="101" t="s">
        <v>83</v>
      </c>
      <c r="B24" s="40">
        <f>-B54</f>
        <v>-55500</v>
      </c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</row>
    <row r="25" spans="1:27" ht="15.75" thickBot="1" x14ac:dyDescent="0.3">
      <c r="A25" s="108" t="s">
        <v>84</v>
      </c>
      <c r="B25" s="94">
        <f>$B$60</f>
        <v>27750</v>
      </c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</row>
    <row r="26" spans="1:27" x14ac:dyDescent="0.25">
      <c r="A26" s="69" t="s">
        <v>25</v>
      </c>
      <c r="B26" s="44">
        <f>SUM(B20:B25)</f>
        <v>-27936</v>
      </c>
      <c r="C26" s="44">
        <f>SUM(C20:C25)</f>
        <v>4786.1424957050012</v>
      </c>
      <c r="D26" s="44">
        <f t="shared" ref="D26:Z26" si="11">SUM(D20:D25)</f>
        <v>7422.0698036078211</v>
      </c>
      <c r="E26" s="44">
        <f t="shared" si="11"/>
        <v>4552.378330813669</v>
      </c>
      <c r="F26" s="44">
        <f t="shared" si="11"/>
        <v>2819.3065797844552</v>
      </c>
      <c r="G26" s="44">
        <f t="shared" si="11"/>
        <v>2791.1730445553649</v>
      </c>
      <c r="H26" s="44">
        <f t="shared" si="11"/>
        <v>1484.2962106178484</v>
      </c>
      <c r="I26" s="44">
        <f t="shared" si="11"/>
        <v>177.39455480160041</v>
      </c>
      <c r="J26" s="44">
        <f t="shared" si="11"/>
        <v>149.18654515553044</v>
      </c>
      <c r="K26" s="44">
        <f t="shared" si="11"/>
        <v>120.95064082769932</v>
      </c>
      <c r="L26" s="44">
        <f t="shared" si="11"/>
        <v>92.685291944215351</v>
      </c>
      <c r="M26" s="44">
        <f t="shared" si="11"/>
        <v>2994.2915637820843</v>
      </c>
      <c r="N26" s="44">
        <f t="shared" si="11"/>
        <v>2977.6822499631739</v>
      </c>
      <c r="O26" s="44">
        <f t="shared" si="11"/>
        <v>2961.1559827133574</v>
      </c>
      <c r="P26" s="44">
        <f t="shared" si="11"/>
        <v>2944.7123467997912</v>
      </c>
      <c r="Q26" s="44">
        <f t="shared" si="11"/>
        <v>2928.3509290657917</v>
      </c>
      <c r="R26" s="44">
        <f t="shared" si="11"/>
        <v>2912.0713184204628</v>
      </c>
      <c r="S26" s="44">
        <f t="shared" si="11"/>
        <v>2895.8731058283611</v>
      </c>
      <c r="T26" s="44">
        <f t="shared" si="11"/>
        <v>2879.7558842992189</v>
      </c>
      <c r="U26" s="44">
        <f t="shared" si="11"/>
        <v>2863.7192488777223</v>
      </c>
      <c r="V26" s="44">
        <f t="shared" si="11"/>
        <v>2847.7627966333334</v>
      </c>
      <c r="W26" s="44">
        <f t="shared" si="11"/>
        <v>2831.8861266501667</v>
      </c>
      <c r="X26" s="44">
        <f t="shared" si="11"/>
        <v>2816.0888400169165</v>
      </c>
      <c r="Y26" s="44">
        <f t="shared" si="11"/>
        <v>2800.3705398168318</v>
      </c>
      <c r="Z26" s="44">
        <f t="shared" si="11"/>
        <v>2784.7308311177476</v>
      </c>
      <c r="AA26" s="44">
        <f>SUM(AA20:AA25)</f>
        <v>2769.169320962159</v>
      </c>
    </row>
    <row r="27" spans="1:27" x14ac:dyDescent="0.25">
      <c r="A27" s="70" t="s">
        <v>45</v>
      </c>
      <c r="B27" s="45">
        <f>B26</f>
        <v>-27936</v>
      </c>
      <c r="C27" s="45">
        <f t="shared" ref="C27:AA27" si="12">B27+C26</f>
        <v>-23149.857504295</v>
      </c>
      <c r="D27" s="45">
        <f t="shared" si="12"/>
        <v>-15727.787700687179</v>
      </c>
      <c r="E27" s="45">
        <f t="shared" si="12"/>
        <v>-11175.409369873509</v>
      </c>
      <c r="F27" s="45">
        <f t="shared" si="12"/>
        <v>-8356.1027900890531</v>
      </c>
      <c r="G27" s="45">
        <f t="shared" si="12"/>
        <v>-5564.9297455336882</v>
      </c>
      <c r="H27" s="45">
        <f t="shared" si="12"/>
        <v>-4080.6335349158398</v>
      </c>
      <c r="I27" s="45">
        <f t="shared" si="12"/>
        <v>-3903.2389801142394</v>
      </c>
      <c r="J27" s="45">
        <f t="shared" si="12"/>
        <v>-3754.052434958709</v>
      </c>
      <c r="K27" s="45">
        <f t="shared" si="12"/>
        <v>-3633.1017941310097</v>
      </c>
      <c r="L27" s="45">
        <f t="shared" si="12"/>
        <v>-3540.4165021867943</v>
      </c>
      <c r="M27" s="45">
        <f t="shared" si="12"/>
        <v>-546.12493840471006</v>
      </c>
      <c r="N27" s="45">
        <f t="shared" si="12"/>
        <v>2431.5573115584639</v>
      </c>
      <c r="O27" s="45">
        <f t="shared" si="12"/>
        <v>5392.7132942718217</v>
      </c>
      <c r="P27" s="45">
        <f t="shared" si="12"/>
        <v>8337.4256410716134</v>
      </c>
      <c r="Q27" s="45">
        <f t="shared" si="12"/>
        <v>11265.776570137405</v>
      </c>
      <c r="R27" s="45">
        <f t="shared" si="12"/>
        <v>14177.847888557868</v>
      </c>
      <c r="S27" s="45">
        <f t="shared" si="12"/>
        <v>17073.720994386229</v>
      </c>
      <c r="T27" s="45">
        <f t="shared" si="12"/>
        <v>19953.476878685447</v>
      </c>
      <c r="U27" s="45">
        <f t="shared" si="12"/>
        <v>22817.196127563169</v>
      </c>
      <c r="V27" s="45">
        <f t="shared" si="12"/>
        <v>25664.958924196504</v>
      </c>
      <c r="W27" s="45">
        <f t="shared" si="12"/>
        <v>28496.84505084667</v>
      </c>
      <c r="X27" s="45">
        <f t="shared" si="12"/>
        <v>31312.933890863587</v>
      </c>
      <c r="Y27" s="45">
        <f t="shared" si="12"/>
        <v>34113.304430680422</v>
      </c>
      <c r="Z27" s="45">
        <f t="shared" si="12"/>
        <v>36898.03526179817</v>
      </c>
      <c r="AA27" s="71">
        <f t="shared" si="12"/>
        <v>39667.204582760329</v>
      </c>
    </row>
    <row r="28" spans="1:27" x14ac:dyDescent="0.25">
      <c r="A28" s="69" t="s">
        <v>46</v>
      </c>
      <c r="B28" s="46">
        <f>B26</f>
        <v>-27936</v>
      </c>
      <c r="C28" s="46">
        <f t="shared" ref="C28:AA28" si="13">C26/((1+$B$37)^C4)</f>
        <v>4646.7402870922342</v>
      </c>
      <c r="D28" s="46">
        <f t="shared" si="13"/>
        <v>6996.0126341859004</v>
      </c>
      <c r="E28" s="46">
        <f t="shared" si="13"/>
        <v>4166.0710596641875</v>
      </c>
      <c r="F28" s="46">
        <f t="shared" si="13"/>
        <v>2504.9173802419682</v>
      </c>
      <c r="G28" s="46">
        <f t="shared" si="13"/>
        <v>2407.6903869697494</v>
      </c>
      <c r="H28" s="46">
        <f t="shared" si="13"/>
        <v>1243.0747086476538</v>
      </c>
      <c r="I28" s="46">
        <f t="shared" si="13"/>
        <v>144.23800666771467</v>
      </c>
      <c r="J28" s="46">
        <f t="shared" si="13"/>
        <v>117.76923638116868</v>
      </c>
      <c r="K28" s="46">
        <f t="shared" si="13"/>
        <v>92.698594918032981</v>
      </c>
      <c r="L28" s="46">
        <f t="shared" si="13"/>
        <v>68.9665617361171</v>
      </c>
      <c r="M28" s="46">
        <f t="shared" si="13"/>
        <v>2163.1399340163575</v>
      </c>
      <c r="N28" s="46">
        <f t="shared" si="13"/>
        <v>2088.4864197319139</v>
      </c>
      <c r="O28" s="46">
        <f t="shared" si="13"/>
        <v>2016.4031343574763</v>
      </c>
      <c r="P28" s="46">
        <f t="shared" si="13"/>
        <v>1946.8017654832749</v>
      </c>
      <c r="Q28" s="46">
        <f t="shared" si="13"/>
        <v>1879.5970299911564</v>
      </c>
      <c r="R28" s="46">
        <f t="shared" si="13"/>
        <v>1814.7065702907628</v>
      </c>
      <c r="S28" s="46">
        <f t="shared" si="13"/>
        <v>1752.0508541057341</v>
      </c>
      <c r="T28" s="46">
        <f t="shared" si="13"/>
        <v>1691.553077688621</v>
      </c>
      <c r="U28" s="46">
        <f t="shared" si="13"/>
        <v>1633.1390723473064</v>
      </c>
      <c r="V28" s="46">
        <f t="shared" si="13"/>
        <v>1576.7372141697474</v>
      </c>
      <c r="W28" s="46">
        <f t="shared" si="13"/>
        <v>1522.2783368377186</v>
      </c>
      <c r="X28" s="46">
        <f t="shared" si="13"/>
        <v>1469.6956474239678</v>
      </c>
      <c r="Y28" s="46">
        <f t="shared" si="13"/>
        <v>1418.9246450707983</v>
      </c>
      <c r="Z28" s="46">
        <f t="shared" si="13"/>
        <v>1369.9030424515811</v>
      </c>
      <c r="AA28" s="72">
        <f t="shared" si="13"/>
        <v>1322.5706899200554</v>
      </c>
    </row>
    <row r="29" spans="1:27" ht="15.75" thickBot="1" x14ac:dyDescent="0.3">
      <c r="A29" s="73" t="s">
        <v>52</v>
      </c>
      <c r="B29" s="74">
        <f>B28</f>
        <v>-27936</v>
      </c>
      <c r="C29" s="74">
        <f>B29+C28</f>
        <v>-23289.259712907766</v>
      </c>
      <c r="D29" s="74">
        <f>C29+D28</f>
        <v>-16293.247078721866</v>
      </c>
      <c r="E29" s="74">
        <f t="shared" ref="E29:AA29" si="14">D29+E28</f>
        <v>-12127.176019057679</v>
      </c>
      <c r="F29" s="74">
        <f t="shared" si="14"/>
        <v>-9622.2586388157106</v>
      </c>
      <c r="G29" s="74">
        <f t="shared" si="14"/>
        <v>-7214.5682518459616</v>
      </c>
      <c r="H29" s="74">
        <f t="shared" si="14"/>
        <v>-5971.4935431983076</v>
      </c>
      <c r="I29" s="74">
        <f t="shared" si="14"/>
        <v>-5827.2555365305925</v>
      </c>
      <c r="J29" s="74">
        <f t="shared" si="14"/>
        <v>-5709.4863001494241</v>
      </c>
      <c r="K29" s="74">
        <f t="shared" si="14"/>
        <v>-5616.7877052313916</v>
      </c>
      <c r="L29" s="74">
        <f t="shared" si="14"/>
        <v>-5547.8211434952746</v>
      </c>
      <c r="M29" s="74">
        <f t="shared" si="14"/>
        <v>-3384.681209478917</v>
      </c>
      <c r="N29" s="74">
        <f t="shared" si="14"/>
        <v>-1296.1947897470031</v>
      </c>
      <c r="O29" s="74">
        <f t="shared" si="14"/>
        <v>720.2083446104732</v>
      </c>
      <c r="P29" s="74">
        <f t="shared" si="14"/>
        <v>2667.0101100937482</v>
      </c>
      <c r="Q29" s="74">
        <f t="shared" si="14"/>
        <v>4546.607140084905</v>
      </c>
      <c r="R29" s="74">
        <f t="shared" si="14"/>
        <v>6361.3137103756681</v>
      </c>
      <c r="S29" s="74">
        <f t="shared" si="14"/>
        <v>8113.3645644814023</v>
      </c>
      <c r="T29" s="74">
        <f t="shared" si="14"/>
        <v>9804.9176421700231</v>
      </c>
      <c r="U29" s="74">
        <f t="shared" si="14"/>
        <v>11438.05671451733</v>
      </c>
      <c r="V29" s="74">
        <f t="shared" si="14"/>
        <v>13014.793928687077</v>
      </c>
      <c r="W29" s="74">
        <f t="shared" si="14"/>
        <v>14537.072265524796</v>
      </c>
      <c r="X29" s="74">
        <f t="shared" si="14"/>
        <v>16006.767912948762</v>
      </c>
      <c r="Y29" s="74">
        <f t="shared" si="14"/>
        <v>17425.69255801956</v>
      </c>
      <c r="Z29" s="74">
        <f t="shared" si="14"/>
        <v>18795.595600471141</v>
      </c>
      <c r="AA29" s="75">
        <f t="shared" si="14"/>
        <v>20118.166290391197</v>
      </c>
    </row>
    <row r="30" spans="1:27" s="47" customFormat="1" x14ac:dyDescent="0.25">
      <c r="A30" s="49" t="s">
        <v>50</v>
      </c>
      <c r="B30" s="50" t="str">
        <f t="shared" ref="B30:AA30" si="15">IF(B27&lt;0,"-",ABS(A27/B26))</f>
        <v>-</v>
      </c>
      <c r="C30" s="50" t="str">
        <f t="shared" si="15"/>
        <v>-</v>
      </c>
      <c r="D30" s="50" t="str">
        <f t="shared" si="15"/>
        <v>-</v>
      </c>
      <c r="E30" s="50" t="str">
        <f t="shared" si="15"/>
        <v>-</v>
      </c>
      <c r="F30" s="50" t="str">
        <f t="shared" si="15"/>
        <v>-</v>
      </c>
      <c r="G30" s="50" t="str">
        <f t="shared" si="15"/>
        <v>-</v>
      </c>
      <c r="H30" s="50" t="str">
        <f t="shared" si="15"/>
        <v>-</v>
      </c>
      <c r="I30" s="50" t="str">
        <f t="shared" si="15"/>
        <v>-</v>
      </c>
      <c r="J30" s="50" t="str">
        <f t="shared" si="15"/>
        <v>-</v>
      </c>
      <c r="K30" s="50" t="str">
        <f t="shared" si="15"/>
        <v>-</v>
      </c>
      <c r="L30" s="50" t="str">
        <f t="shared" si="15"/>
        <v>-</v>
      </c>
      <c r="M30" s="50" t="str">
        <f t="shared" si="15"/>
        <v>-</v>
      </c>
      <c r="N30" s="50">
        <f t="shared" si="15"/>
        <v>0.18340604959157888</v>
      </c>
      <c r="O30" s="50">
        <f t="shared" si="15"/>
        <v>0.82115137660880222</v>
      </c>
      <c r="P30" s="50">
        <f t="shared" si="15"/>
        <v>1.8313209098784915</v>
      </c>
      <c r="Q30" s="50">
        <f t="shared" si="15"/>
        <v>2.847140197002084</v>
      </c>
      <c r="R30" s="50">
        <f t="shared" si="15"/>
        <v>3.8686472061570512</v>
      </c>
      <c r="S30" s="50">
        <f t="shared" si="15"/>
        <v>4.8958802303950781</v>
      </c>
      <c r="T30" s="50">
        <f t="shared" si="15"/>
        <v>5.9288778911692628</v>
      </c>
      <c r="U30" s="50">
        <f t="shared" si="15"/>
        <v>6.9676791419078938</v>
      </c>
      <c r="V30" s="50">
        <f t="shared" si="15"/>
        <v>8.012323271635541</v>
      </c>
      <c r="W30" s="50">
        <f t="shared" si="15"/>
        <v>9.0628499086421748</v>
      </c>
      <c r="X30" s="50">
        <f t="shared" si="15"/>
        <v>10.119299024201057</v>
      </c>
      <c r="Y30" s="50">
        <f t="shared" si="15"/>
        <v>11.181710936336204</v>
      </c>
      <c r="Z30" s="50">
        <f t="shared" si="15"/>
        <v>12.250126313640113</v>
      </c>
      <c r="AA30" s="50">
        <f t="shared" si="15"/>
        <v>13.324586179142631</v>
      </c>
    </row>
    <row r="31" spans="1:27" s="47" customFormat="1" x14ac:dyDescent="0.25">
      <c r="A31" s="49" t="s">
        <v>53</v>
      </c>
      <c r="B31" s="50" t="str">
        <f>IF(B29&lt;0,"-",ABS(A29/B28))</f>
        <v>-</v>
      </c>
      <c r="C31" s="50" t="str">
        <f t="shared" ref="C31:AA31" si="16">IF(C29&lt;0,"-",ABS(B29/C28))</f>
        <v>-</v>
      </c>
      <c r="D31" s="50" t="str">
        <f t="shared" si="16"/>
        <v>-</v>
      </c>
      <c r="E31" s="50" t="str">
        <f t="shared" si="16"/>
        <v>-</v>
      </c>
      <c r="F31" s="50" t="str">
        <f t="shared" si="16"/>
        <v>-</v>
      </c>
      <c r="G31" s="50" t="str">
        <f t="shared" si="16"/>
        <v>-</v>
      </c>
      <c r="H31" s="50" t="str">
        <f t="shared" si="16"/>
        <v>-</v>
      </c>
      <c r="I31" s="50" t="str">
        <f t="shared" si="16"/>
        <v>-</v>
      </c>
      <c r="J31" s="50" t="str">
        <f t="shared" si="16"/>
        <v>-</v>
      </c>
      <c r="K31" s="50" t="str">
        <f t="shared" si="16"/>
        <v>-</v>
      </c>
      <c r="L31" s="50" t="str">
        <f t="shared" si="16"/>
        <v>-</v>
      </c>
      <c r="M31" s="50" t="str">
        <f t="shared" si="16"/>
        <v>-</v>
      </c>
      <c r="N31" s="50" t="str">
        <f t="shared" si="16"/>
        <v>-</v>
      </c>
      <c r="O31" s="50">
        <f t="shared" si="16"/>
        <v>0.64282522064221725</v>
      </c>
      <c r="P31" s="50">
        <f t="shared" si="16"/>
        <v>0.36994436587214025</v>
      </c>
      <c r="Q31" s="50">
        <f t="shared" si="16"/>
        <v>1.4189265398585442</v>
      </c>
      <c r="R31" s="50">
        <f t="shared" si="16"/>
        <v>2.5054227578822408</v>
      </c>
      <c r="S31" s="50">
        <f t="shared" si="16"/>
        <v>3.630781432781272</v>
      </c>
      <c r="T31" s="50">
        <f t="shared" si="16"/>
        <v>4.7963996350429037</v>
      </c>
      <c r="U31" s="50">
        <f t="shared" si="16"/>
        <v>6.0037248561308632</v>
      </c>
      <c r="V31" s="50">
        <f t="shared" si="16"/>
        <v>7.2542568360322459</v>
      </c>
      <c r="W31" s="50">
        <f t="shared" si="16"/>
        <v>8.5495494573766049</v>
      </c>
      <c r="X31" s="50">
        <f t="shared" si="16"/>
        <v>9.8912127085664832</v>
      </c>
      <c r="Y31" s="50">
        <f t="shared" si="16"/>
        <v>11.280914718448697</v>
      </c>
      <c r="Z31" s="50">
        <f t="shared" si="16"/>
        <v>12.720383865148959</v>
      </c>
      <c r="AA31" s="50">
        <f t="shared" si="16"/>
        <v>14.211410961789321</v>
      </c>
    </row>
    <row r="32" spans="1:27" s="47" customFormat="1" x14ac:dyDescent="0.25">
      <c r="A32" s="49"/>
      <c r="B32" s="50"/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</row>
    <row r="33" spans="1:27" s="47" customFormat="1" x14ac:dyDescent="0.25">
      <c r="A33" s="49"/>
      <c r="B33" s="50"/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</row>
    <row r="34" spans="1:27" ht="15.75" thickBot="1" x14ac:dyDescent="0.3">
      <c r="A34" s="12"/>
      <c r="B34" s="13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4"/>
    </row>
    <row r="35" spans="1:27" x14ac:dyDescent="0.25">
      <c r="A35" s="53" t="s">
        <v>22</v>
      </c>
      <c r="B35" s="56">
        <f>NPV(B37,C26:AA26)+B26</f>
        <v>20118.166290391164</v>
      </c>
      <c r="C35" s="15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</row>
    <row r="36" spans="1:27" x14ac:dyDescent="0.25">
      <c r="A36" s="54" t="s">
        <v>23</v>
      </c>
      <c r="B36" s="57">
        <f>IRR(B26:AA26,4)</f>
        <v>9.5696956560872071E-2</v>
      </c>
      <c r="C36" s="15"/>
      <c r="D36" s="17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</row>
    <row r="37" spans="1:27" x14ac:dyDescent="0.25">
      <c r="A37" s="54" t="s">
        <v>24</v>
      </c>
      <c r="B37" s="57">
        <f>'100% Ownership'!D37</f>
        <v>0.03</v>
      </c>
      <c r="C37" s="15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</row>
    <row r="38" spans="1:27" x14ac:dyDescent="0.25">
      <c r="A38" s="55" t="s">
        <v>47</v>
      </c>
      <c r="B38" s="58">
        <f>COUNTIF(C27:AA27,"&lt;"&amp;0)+INDEX(C30:AA30,,COUNTIF(C27:AA27,"&lt;"&amp;0)+1)</f>
        <v>11.183406049591579</v>
      </c>
      <c r="C38" s="15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</row>
    <row r="39" spans="1:27" ht="15.75" thickBot="1" x14ac:dyDescent="0.3">
      <c r="A39" s="59" t="s">
        <v>51</v>
      </c>
      <c r="B39" s="60">
        <f>COUNTIF(C29:AA29,"&lt;"&amp;0)+INDEX(C31:AA31,,COUNTIF(C29:AA29,"&lt;"&amp;0)+1)</f>
        <v>12.642825220642218</v>
      </c>
      <c r="C39" s="15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</row>
    <row r="40" spans="1:27" x14ac:dyDescent="0.25">
      <c r="A40" s="51"/>
      <c r="B40" s="52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20"/>
    </row>
    <row r="41" spans="1:27" x14ac:dyDescent="0.25">
      <c r="A41" s="18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4"/>
    </row>
    <row r="42" spans="1:27" ht="15.75" thickBot="1" x14ac:dyDescent="0.3">
      <c r="A42" s="21"/>
      <c r="B42" s="22"/>
      <c r="C42" s="23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 t="s">
        <v>54</v>
      </c>
      <c r="V42" s="16"/>
      <c r="W42" s="16"/>
      <c r="X42" s="16"/>
      <c r="Y42" s="16"/>
      <c r="Z42" s="16"/>
      <c r="AA42" s="16"/>
    </row>
    <row r="43" spans="1:27" x14ac:dyDescent="0.25">
      <c r="A43" s="354" t="s">
        <v>1</v>
      </c>
      <c r="B43" s="355"/>
      <c r="C43" s="33" t="s">
        <v>30</v>
      </c>
      <c r="D43" s="24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</row>
    <row r="44" spans="1:27" ht="45" customHeight="1" x14ac:dyDescent="0.25">
      <c r="A44" s="34" t="s">
        <v>49</v>
      </c>
      <c r="B44" s="215">
        <f>PPA!D12</f>
        <v>72672</v>
      </c>
      <c r="C44" s="35" t="s">
        <v>37</v>
      </c>
      <c r="D44" s="12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</row>
    <row r="45" spans="1:27" ht="60" customHeight="1" x14ac:dyDescent="0.25">
      <c r="A45" s="34" t="s">
        <v>27</v>
      </c>
      <c r="B45" s="216">
        <f>PPA!D13</f>
        <v>573.6</v>
      </c>
      <c r="C45" s="35" t="s">
        <v>38</v>
      </c>
      <c r="D45" s="15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</row>
    <row r="46" spans="1:27" ht="30" x14ac:dyDescent="0.25">
      <c r="A46" s="34" t="s">
        <v>62</v>
      </c>
      <c r="B46" s="217">
        <f>PPA!D18</f>
        <v>8.0100000000000005E-2</v>
      </c>
      <c r="C46" s="80" t="s">
        <v>39</v>
      </c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7"/>
    </row>
    <row r="47" spans="1:27" ht="30" x14ac:dyDescent="0.25">
      <c r="A47" s="34" t="s">
        <v>40</v>
      </c>
      <c r="B47" s="218">
        <f>PPA!D19</f>
        <v>2.81</v>
      </c>
      <c r="C47" s="35" t="s">
        <v>39</v>
      </c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20"/>
    </row>
    <row r="48" spans="1:27" x14ac:dyDescent="0.25">
      <c r="A48" s="34" t="s">
        <v>55</v>
      </c>
      <c r="B48" s="219">
        <f>PPA!D27</f>
        <v>0</v>
      </c>
      <c r="C48" s="35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</row>
    <row r="49" spans="1:3" ht="45" customHeight="1" x14ac:dyDescent="0.25">
      <c r="A49" s="34" t="s">
        <v>56</v>
      </c>
      <c r="B49" s="220">
        <f>PPA!D20</f>
        <v>310</v>
      </c>
      <c r="C49" s="36" t="s">
        <v>31</v>
      </c>
    </row>
    <row r="50" spans="1:3" x14ac:dyDescent="0.25">
      <c r="A50" s="34" t="s">
        <v>35</v>
      </c>
      <c r="B50" s="214">
        <f>PPA!D9</f>
        <v>60</v>
      </c>
      <c r="C50" s="36"/>
    </row>
    <row r="51" spans="1:3" ht="45" x14ac:dyDescent="0.25">
      <c r="A51" s="34" t="s">
        <v>41</v>
      </c>
      <c r="B51" s="221">
        <f>PPA!D25</f>
        <v>1.85</v>
      </c>
      <c r="C51" s="36" t="s">
        <v>43</v>
      </c>
    </row>
    <row r="52" spans="1:3" x14ac:dyDescent="0.25">
      <c r="A52" s="34" t="s">
        <v>58</v>
      </c>
      <c r="B52" s="222">
        <f>PPA!D26</f>
        <v>0.5</v>
      </c>
      <c r="C52" s="36"/>
    </row>
    <row r="53" spans="1:3" x14ac:dyDescent="0.25">
      <c r="A53" s="34" t="s">
        <v>36</v>
      </c>
      <c r="B53" s="220">
        <f>PPA!D34</f>
        <v>111000</v>
      </c>
      <c r="C53" s="36"/>
    </row>
    <row r="54" spans="1:3" x14ac:dyDescent="0.25">
      <c r="A54" s="34" t="s">
        <v>57</v>
      </c>
      <c r="B54" s="220">
        <f>PPA!D36</f>
        <v>55500</v>
      </c>
      <c r="C54" s="36"/>
    </row>
    <row r="55" spans="1:3" ht="45" x14ac:dyDescent="0.25">
      <c r="A55" s="37" t="s">
        <v>42</v>
      </c>
      <c r="B55" s="220">
        <f>PPA!D37</f>
        <v>1200</v>
      </c>
      <c r="C55" s="36" t="s">
        <v>59</v>
      </c>
    </row>
    <row r="56" spans="1:3" ht="30" x14ac:dyDescent="0.25">
      <c r="A56" s="37" t="s">
        <v>29</v>
      </c>
      <c r="B56" s="223">
        <f>PPA!D52</f>
        <v>5.0000000000000001E-3</v>
      </c>
      <c r="C56" s="36" t="s">
        <v>44</v>
      </c>
    </row>
    <row r="57" spans="1:3" x14ac:dyDescent="0.25">
      <c r="A57" s="37" t="s">
        <v>34</v>
      </c>
      <c r="B57" s="224">
        <f>PPA!D29</f>
        <v>9</v>
      </c>
      <c r="C57" s="36"/>
    </row>
    <row r="58" spans="1:3" x14ac:dyDescent="0.25">
      <c r="A58" s="37" t="s">
        <v>74</v>
      </c>
      <c r="B58" s="225">
        <f>PPA!D30</f>
        <v>0.4</v>
      </c>
      <c r="C58" s="36"/>
    </row>
    <row r="59" spans="1:3" ht="30" x14ac:dyDescent="0.25">
      <c r="A59" s="37" t="s">
        <v>60</v>
      </c>
      <c r="B59" s="226">
        <f>IF(PPA!D42=0, 0.000001, PPA!D42)</f>
        <v>0.5</v>
      </c>
      <c r="C59" s="36" t="s">
        <v>61</v>
      </c>
    </row>
    <row r="60" spans="1:3" x14ac:dyDescent="0.25">
      <c r="A60" s="37" t="s">
        <v>67</v>
      </c>
      <c r="B60" s="227">
        <f>PPA!D47</f>
        <v>27750</v>
      </c>
      <c r="C60" s="36"/>
    </row>
    <row r="61" spans="1:3" x14ac:dyDescent="0.25">
      <c r="A61" s="37" t="s">
        <v>64</v>
      </c>
      <c r="B61" s="228">
        <f>IF(PPA!D43=0, 0.00001, PPA!D43)</f>
        <v>0.01</v>
      </c>
      <c r="C61" s="139"/>
    </row>
    <row r="62" spans="1:3" ht="15.75" thickBot="1" x14ac:dyDescent="0.3">
      <c r="A62" s="38" t="s">
        <v>65</v>
      </c>
      <c r="B62" s="229">
        <f>IF(PPA!D44 = 0, 0.00001, PPA!D44)</f>
        <v>10</v>
      </c>
      <c r="C62" s="140"/>
    </row>
    <row r="63" spans="1:3" x14ac:dyDescent="0.25">
      <c r="A63" s="247" t="s">
        <v>169</v>
      </c>
      <c r="B63" s="248">
        <f>PPA!D53</f>
        <v>0.01</v>
      </c>
    </row>
    <row r="65" spans="1:26" s="92" customFormat="1" ht="15.75" thickBot="1" x14ac:dyDescent="0.3"/>
    <row r="67" spans="1:26" x14ac:dyDescent="0.25">
      <c r="A67" s="81" t="s">
        <v>63</v>
      </c>
    </row>
    <row r="69" spans="1:26" x14ac:dyDescent="0.25">
      <c r="B69" s="47"/>
    </row>
    <row r="70" spans="1:26" x14ac:dyDescent="0.25">
      <c r="A70" s="124" t="s">
        <v>82</v>
      </c>
      <c r="B70" s="124">
        <f>($B$61*((1+$B$61)^$B$62))/(((1+$B$61)^$B$62)-1)</f>
        <v>0.10558207655117115</v>
      </c>
    </row>
    <row r="71" spans="1:26" x14ac:dyDescent="0.25">
      <c r="A71" s="10" t="s">
        <v>66</v>
      </c>
      <c r="B71" s="82">
        <f>$B$70*$B$60</f>
        <v>2929.9026242949994</v>
      </c>
    </row>
    <row r="72" spans="1:26" ht="15.75" thickBot="1" x14ac:dyDescent="0.3"/>
    <row r="73" spans="1:26" x14ac:dyDescent="0.25">
      <c r="A73" s="87" t="s">
        <v>18</v>
      </c>
      <c r="B73" s="84">
        <v>1</v>
      </c>
      <c r="C73" s="84">
        <v>2</v>
      </c>
      <c r="D73" s="84">
        <v>3</v>
      </c>
      <c r="E73" s="84">
        <v>4</v>
      </c>
      <c r="F73" s="84">
        <v>5</v>
      </c>
      <c r="G73" s="84">
        <v>6</v>
      </c>
      <c r="H73" s="84">
        <v>7</v>
      </c>
      <c r="I73" s="84">
        <v>8</v>
      </c>
      <c r="J73" s="84">
        <v>9</v>
      </c>
      <c r="K73" s="84">
        <v>10</v>
      </c>
      <c r="L73" s="84">
        <v>11</v>
      </c>
      <c r="M73" s="84">
        <v>12</v>
      </c>
      <c r="N73" s="84">
        <v>13</v>
      </c>
      <c r="O73" s="84">
        <v>14</v>
      </c>
      <c r="P73" s="84">
        <v>15</v>
      </c>
      <c r="Q73" s="84">
        <v>16</v>
      </c>
      <c r="R73" s="84">
        <v>17</v>
      </c>
      <c r="S73" s="84">
        <v>18</v>
      </c>
      <c r="T73" s="84">
        <v>19</v>
      </c>
      <c r="U73" s="84">
        <v>20</v>
      </c>
      <c r="V73" s="84">
        <v>21</v>
      </c>
      <c r="W73" s="84">
        <v>22</v>
      </c>
      <c r="X73" s="84">
        <v>23</v>
      </c>
      <c r="Y73" s="84">
        <v>24</v>
      </c>
      <c r="Z73" s="85">
        <v>25</v>
      </c>
    </row>
    <row r="74" spans="1:26" x14ac:dyDescent="0.25">
      <c r="A74" s="88" t="s">
        <v>68</v>
      </c>
      <c r="B74" s="83">
        <f>$B$71</f>
        <v>2929.9026242949994</v>
      </c>
      <c r="C74" s="83">
        <f>IF(B77&lt;=1,0,$B$74)</f>
        <v>2929.9026242949994</v>
      </c>
      <c r="D74" s="83">
        <f t="shared" ref="D74:Z74" si="17">IF(C77&lt;=1,0,$B$74)</f>
        <v>2929.9026242949994</v>
      </c>
      <c r="E74" s="83">
        <f t="shared" si="17"/>
        <v>2929.9026242949994</v>
      </c>
      <c r="F74" s="83">
        <f t="shared" si="17"/>
        <v>2929.9026242949994</v>
      </c>
      <c r="G74" s="83">
        <f t="shared" si="17"/>
        <v>2929.9026242949994</v>
      </c>
      <c r="H74" s="83">
        <f t="shared" si="17"/>
        <v>2929.9026242949994</v>
      </c>
      <c r="I74" s="83">
        <f t="shared" si="17"/>
        <v>2929.9026242949994</v>
      </c>
      <c r="J74" s="83">
        <f t="shared" si="17"/>
        <v>2929.9026242949994</v>
      </c>
      <c r="K74" s="83">
        <f t="shared" si="17"/>
        <v>2929.9026242949994</v>
      </c>
      <c r="L74" s="83">
        <f t="shared" si="17"/>
        <v>0</v>
      </c>
      <c r="M74" s="83">
        <f t="shared" si="17"/>
        <v>0</v>
      </c>
      <c r="N74" s="83">
        <f t="shared" si="17"/>
        <v>0</v>
      </c>
      <c r="O74" s="83">
        <f t="shared" si="17"/>
        <v>0</v>
      </c>
      <c r="P74" s="83">
        <f t="shared" si="17"/>
        <v>0</v>
      </c>
      <c r="Q74" s="83">
        <f t="shared" si="17"/>
        <v>0</v>
      </c>
      <c r="R74" s="83">
        <f t="shared" si="17"/>
        <v>0</v>
      </c>
      <c r="S74" s="83">
        <f t="shared" si="17"/>
        <v>0</v>
      </c>
      <c r="T74" s="83">
        <f t="shared" si="17"/>
        <v>0</v>
      </c>
      <c r="U74" s="83">
        <f t="shared" si="17"/>
        <v>0</v>
      </c>
      <c r="V74" s="83">
        <f t="shared" si="17"/>
        <v>0</v>
      </c>
      <c r="W74" s="83">
        <f t="shared" si="17"/>
        <v>0</v>
      </c>
      <c r="X74" s="83">
        <f t="shared" si="17"/>
        <v>0</v>
      </c>
      <c r="Y74" s="83">
        <f t="shared" si="17"/>
        <v>0</v>
      </c>
      <c r="Z74" s="83">
        <f t="shared" si="17"/>
        <v>0</v>
      </c>
    </row>
    <row r="75" spans="1:26" x14ac:dyDescent="0.25">
      <c r="A75" s="88" t="s">
        <v>69</v>
      </c>
      <c r="B75" s="83">
        <f>B60*B61</f>
        <v>277.5</v>
      </c>
      <c r="C75" s="83">
        <f>B77*$B$61</f>
        <v>250.97597375705001</v>
      </c>
      <c r="D75" s="83">
        <f t="shared" ref="D75:Z75" si="18">C77*$B$61</f>
        <v>224.18670725167053</v>
      </c>
      <c r="E75" s="83">
        <f t="shared" si="18"/>
        <v>197.12954808123723</v>
      </c>
      <c r="F75" s="83">
        <f t="shared" si="18"/>
        <v>169.80181731909963</v>
      </c>
      <c r="G75" s="83">
        <f t="shared" si="18"/>
        <v>142.20080924934061</v>
      </c>
      <c r="H75" s="83">
        <f t="shared" si="18"/>
        <v>114.32379109888402</v>
      </c>
      <c r="I75" s="83">
        <f t="shared" si="18"/>
        <v>86.168002766922854</v>
      </c>
      <c r="J75" s="83">
        <f t="shared" si="18"/>
        <v>57.730656551642085</v>
      </c>
      <c r="K75" s="83">
        <f t="shared" si="18"/>
        <v>29.008936874208512</v>
      </c>
      <c r="L75" s="83">
        <f t="shared" si="18"/>
        <v>6.0026650317013267E-13</v>
      </c>
      <c r="M75" s="83">
        <f t="shared" si="18"/>
        <v>6.0626916820183394E-13</v>
      </c>
      <c r="N75" s="83">
        <f t="shared" si="18"/>
        <v>6.1233185988385233E-13</v>
      </c>
      <c r="O75" s="83">
        <f t="shared" si="18"/>
        <v>6.1845517848269081E-13</v>
      </c>
      <c r="P75" s="83">
        <f t="shared" si="18"/>
        <v>6.2463973026751764E-13</v>
      </c>
      <c r="Q75" s="83">
        <f t="shared" si="18"/>
        <v>6.3088612757019277E-13</v>
      </c>
      <c r="R75" s="83">
        <f t="shared" si="18"/>
        <v>6.3719498884589474E-13</v>
      </c>
      <c r="S75" s="83">
        <f t="shared" si="18"/>
        <v>6.4356693873435371E-13</v>
      </c>
      <c r="T75" s="83">
        <f t="shared" si="18"/>
        <v>6.5000260812169732E-13</v>
      </c>
      <c r="U75" s="83">
        <f t="shared" si="18"/>
        <v>6.5650263420291431E-13</v>
      </c>
      <c r="V75" s="83">
        <f t="shared" si="18"/>
        <v>6.6306766054494346E-13</v>
      </c>
      <c r="W75" s="83">
        <f t="shared" si="18"/>
        <v>6.6969833715039292E-13</v>
      </c>
      <c r="X75" s="83">
        <f t="shared" si="18"/>
        <v>6.7639532052189685E-13</v>
      </c>
      <c r="Y75" s="83">
        <f t="shared" si="18"/>
        <v>6.8315927372711583E-13</v>
      </c>
      <c r="Z75" s="83">
        <f t="shared" si="18"/>
        <v>6.8999086646438705E-13</v>
      </c>
    </row>
    <row r="76" spans="1:26" x14ac:dyDescent="0.25">
      <c r="A76" s="88" t="s">
        <v>81</v>
      </c>
      <c r="B76" s="83">
        <f>B74-B75</f>
        <v>2652.4026242949994</v>
      </c>
      <c r="C76" s="83">
        <f>C74-C75</f>
        <v>2678.9266505379496</v>
      </c>
      <c r="D76" s="83">
        <f t="shared" ref="D76:Z76" si="19">D74-D75</f>
        <v>2705.7159170433288</v>
      </c>
      <c r="E76" s="83">
        <f t="shared" si="19"/>
        <v>2732.7730762137621</v>
      </c>
      <c r="F76" s="83">
        <f t="shared" si="19"/>
        <v>2760.1008069759</v>
      </c>
      <c r="G76" s="83">
        <f t="shared" si="19"/>
        <v>2787.7018150456588</v>
      </c>
      <c r="H76" s="83">
        <f t="shared" si="19"/>
        <v>2815.5788331961153</v>
      </c>
      <c r="I76" s="83">
        <f t="shared" si="19"/>
        <v>2843.7346215280768</v>
      </c>
      <c r="J76" s="83">
        <f t="shared" si="19"/>
        <v>2872.1719677433575</v>
      </c>
      <c r="K76" s="83">
        <f t="shared" si="19"/>
        <v>2900.8936874207911</v>
      </c>
      <c r="L76" s="83">
        <f t="shared" si="19"/>
        <v>-6.0026650317013267E-13</v>
      </c>
      <c r="M76" s="83">
        <f t="shared" si="19"/>
        <v>-6.0626916820183394E-13</v>
      </c>
      <c r="N76" s="83">
        <f t="shared" si="19"/>
        <v>-6.1233185988385233E-13</v>
      </c>
      <c r="O76" s="83">
        <f t="shared" si="19"/>
        <v>-6.1845517848269081E-13</v>
      </c>
      <c r="P76" s="83">
        <f t="shared" si="19"/>
        <v>-6.2463973026751764E-13</v>
      </c>
      <c r="Q76" s="83">
        <f t="shared" si="19"/>
        <v>-6.3088612757019277E-13</v>
      </c>
      <c r="R76" s="83">
        <f t="shared" si="19"/>
        <v>-6.3719498884589474E-13</v>
      </c>
      <c r="S76" s="83">
        <f t="shared" si="19"/>
        <v>-6.4356693873435371E-13</v>
      </c>
      <c r="T76" s="83">
        <f t="shared" si="19"/>
        <v>-6.5000260812169732E-13</v>
      </c>
      <c r="U76" s="83">
        <f t="shared" si="19"/>
        <v>-6.5650263420291431E-13</v>
      </c>
      <c r="V76" s="83">
        <f t="shared" si="19"/>
        <v>-6.6306766054494346E-13</v>
      </c>
      <c r="W76" s="83">
        <f t="shared" si="19"/>
        <v>-6.6969833715039292E-13</v>
      </c>
      <c r="X76" s="83">
        <f t="shared" si="19"/>
        <v>-6.7639532052189685E-13</v>
      </c>
      <c r="Y76" s="83">
        <f t="shared" si="19"/>
        <v>-6.8315927372711583E-13</v>
      </c>
      <c r="Z76" s="83">
        <f t="shared" si="19"/>
        <v>-6.8999086646438705E-13</v>
      </c>
    </row>
    <row r="77" spans="1:26" ht="15.75" thickBot="1" x14ac:dyDescent="0.3">
      <c r="A77" s="89" t="s">
        <v>70</v>
      </c>
      <c r="B77" s="86">
        <f>B60-B76</f>
        <v>25097.597375705001</v>
      </c>
      <c r="C77" s="86">
        <f>B77-C76</f>
        <v>22418.670725167052</v>
      </c>
      <c r="D77" s="86">
        <f t="shared" ref="D77:Z77" si="20">C77-D76</f>
        <v>19712.954808123723</v>
      </c>
      <c r="E77" s="86">
        <f t="shared" si="20"/>
        <v>16980.181731909961</v>
      </c>
      <c r="F77" s="86">
        <f t="shared" si="20"/>
        <v>14220.08092493406</v>
      </c>
      <c r="G77" s="86">
        <f t="shared" si="20"/>
        <v>11432.379109888401</v>
      </c>
      <c r="H77" s="86">
        <f t="shared" si="20"/>
        <v>8616.8002766922855</v>
      </c>
      <c r="I77" s="86">
        <f t="shared" si="20"/>
        <v>5773.0656551642087</v>
      </c>
      <c r="J77" s="86">
        <f t="shared" si="20"/>
        <v>2900.8936874208512</v>
      </c>
      <c r="K77" s="86">
        <f t="shared" si="20"/>
        <v>6.0026650317013264E-11</v>
      </c>
      <c r="L77" s="86">
        <f t="shared" si="20"/>
        <v>6.0626916820183393E-11</v>
      </c>
      <c r="M77" s="86">
        <f t="shared" si="20"/>
        <v>6.1233185988385229E-11</v>
      </c>
      <c r="N77" s="86">
        <f t="shared" si="20"/>
        <v>6.184551784826908E-11</v>
      </c>
      <c r="O77" s="86">
        <f t="shared" si="20"/>
        <v>6.2463973026751767E-11</v>
      </c>
      <c r="P77" s="86">
        <f t="shared" si="20"/>
        <v>6.3088612757019281E-11</v>
      </c>
      <c r="Q77" s="86">
        <f t="shared" si="20"/>
        <v>6.3719498884589476E-11</v>
      </c>
      <c r="R77" s="86">
        <f t="shared" si="20"/>
        <v>6.4356693873435372E-11</v>
      </c>
      <c r="S77" s="86">
        <f t="shared" si="20"/>
        <v>6.500026081216973E-11</v>
      </c>
      <c r="T77" s="86">
        <f t="shared" si="20"/>
        <v>6.565026342029143E-11</v>
      </c>
      <c r="U77" s="86">
        <f t="shared" si="20"/>
        <v>6.6306766054494344E-11</v>
      </c>
      <c r="V77" s="86">
        <f t="shared" si="20"/>
        <v>6.6969833715039287E-11</v>
      </c>
      <c r="W77" s="86">
        <f t="shared" si="20"/>
        <v>6.7639532052189681E-11</v>
      </c>
      <c r="X77" s="86">
        <f t="shared" si="20"/>
        <v>6.8315927372711581E-11</v>
      </c>
      <c r="Y77" s="86">
        <f t="shared" si="20"/>
        <v>6.8999086646438699E-11</v>
      </c>
      <c r="Z77" s="86">
        <f t="shared" si="20"/>
        <v>6.9689077512903082E-11</v>
      </c>
    </row>
    <row r="79" spans="1:26" s="92" customFormat="1" ht="15.75" thickBot="1" x14ac:dyDescent="0.3"/>
    <row r="80" spans="1:26" ht="15.75" thickBot="1" x14ac:dyDescent="0.3"/>
    <row r="81" spans="1:27" ht="15.75" thickBot="1" x14ac:dyDescent="0.3">
      <c r="A81" s="125" t="s">
        <v>86</v>
      </c>
    </row>
    <row r="82" spans="1:27" x14ac:dyDescent="0.25">
      <c r="A82" s="116" t="s">
        <v>87</v>
      </c>
      <c r="B82" s="117" t="s">
        <v>89</v>
      </c>
      <c r="C82" s="118" t="s">
        <v>30</v>
      </c>
    </row>
    <row r="83" spans="1:27" x14ac:dyDescent="0.25">
      <c r="A83" s="113">
        <v>1</v>
      </c>
      <c r="B83" s="112">
        <v>0.2</v>
      </c>
      <c r="C83" s="358"/>
    </row>
    <row r="84" spans="1:27" x14ac:dyDescent="0.25">
      <c r="A84" s="113">
        <v>2</v>
      </c>
      <c r="B84" s="112">
        <v>0.32</v>
      </c>
      <c r="C84" s="358"/>
    </row>
    <row r="85" spans="1:27" x14ac:dyDescent="0.25">
      <c r="A85" s="113">
        <v>3</v>
      </c>
      <c r="B85" s="112">
        <v>0.192</v>
      </c>
      <c r="C85" s="358"/>
    </row>
    <row r="86" spans="1:27" x14ac:dyDescent="0.25">
      <c r="A86" s="113">
        <v>4</v>
      </c>
      <c r="B86" s="112">
        <v>0.1152</v>
      </c>
      <c r="C86" s="358"/>
    </row>
    <row r="87" spans="1:27" x14ac:dyDescent="0.25">
      <c r="A87" s="113">
        <v>5</v>
      </c>
      <c r="B87" s="112">
        <v>0.1152</v>
      </c>
      <c r="C87" s="358"/>
    </row>
    <row r="88" spans="1:27" ht="15.75" thickBot="1" x14ac:dyDescent="0.3">
      <c r="A88" s="114">
        <v>6</v>
      </c>
      <c r="B88" s="115">
        <v>5.7599999999999998E-2</v>
      </c>
      <c r="C88" s="359"/>
    </row>
    <row r="90" spans="1:27" s="92" customFormat="1" ht="15.75" thickBot="1" x14ac:dyDescent="0.3"/>
    <row r="92" spans="1:27" x14ac:dyDescent="0.25">
      <c r="A92" s="132" t="s">
        <v>145</v>
      </c>
    </row>
    <row r="93" spans="1:27" ht="15.75" thickBot="1" x14ac:dyDescent="0.3">
      <c r="A93" s="1"/>
    </row>
    <row r="94" spans="1:27" x14ac:dyDescent="0.25">
      <c r="A94" s="194" t="s">
        <v>18</v>
      </c>
      <c r="B94" s="195">
        <v>0</v>
      </c>
      <c r="C94" s="195">
        <v>1</v>
      </c>
      <c r="D94" s="195">
        <v>2</v>
      </c>
      <c r="E94" s="195">
        <v>3</v>
      </c>
      <c r="F94" s="195">
        <v>4</v>
      </c>
      <c r="G94" s="195">
        <v>5</v>
      </c>
      <c r="H94" s="195">
        <v>6</v>
      </c>
      <c r="I94" s="195">
        <v>7</v>
      </c>
      <c r="J94" s="195">
        <v>8</v>
      </c>
      <c r="K94" s="195">
        <v>9</v>
      </c>
      <c r="L94" s="195">
        <v>10</v>
      </c>
      <c r="M94" s="195">
        <v>11</v>
      </c>
      <c r="N94" s="195">
        <v>12</v>
      </c>
      <c r="O94" s="195">
        <v>13</v>
      </c>
      <c r="P94" s="195">
        <v>14</v>
      </c>
      <c r="Q94" s="195">
        <v>15</v>
      </c>
      <c r="R94" s="195">
        <v>16</v>
      </c>
      <c r="S94" s="195">
        <v>17</v>
      </c>
      <c r="T94" s="195">
        <v>18</v>
      </c>
      <c r="U94" s="195">
        <v>19</v>
      </c>
      <c r="V94" s="195">
        <v>20</v>
      </c>
      <c r="W94" s="195">
        <v>21</v>
      </c>
      <c r="X94" s="195">
        <v>22</v>
      </c>
      <c r="Y94" s="195">
        <v>23</v>
      </c>
      <c r="Z94" s="195">
        <v>24</v>
      </c>
      <c r="AA94" s="196">
        <v>25</v>
      </c>
    </row>
    <row r="95" spans="1:27" x14ac:dyDescent="0.25">
      <c r="A95" s="197" t="s">
        <v>147</v>
      </c>
      <c r="B95" s="192">
        <f>-(B8+B17+B23+B24)/((1+$B$37)^B4)</f>
        <v>55810</v>
      </c>
      <c r="C95" s="192">
        <f t="shared" ref="C95:AA95" si="21">-(C8+C17+C23+C24)/((1+$B$37)^C4)</f>
        <v>4009.6141983446596</v>
      </c>
      <c r="D95" s="192">
        <f t="shared" si="21"/>
        <v>3892.8293187812233</v>
      </c>
      <c r="E95" s="192">
        <f t="shared" si="21"/>
        <v>3779.4459405642942</v>
      </c>
      <c r="F95" s="192">
        <f t="shared" si="21"/>
        <v>3669.3649908391208</v>
      </c>
      <c r="G95" s="192">
        <f t="shared" si="21"/>
        <v>3562.4902823680786</v>
      </c>
      <c r="H95" s="192">
        <f t="shared" si="21"/>
        <v>3458.7284294835713</v>
      </c>
      <c r="I95" s="192">
        <f t="shared" si="21"/>
        <v>3357.9887664889038</v>
      </c>
      <c r="J95" s="192">
        <f t="shared" si="21"/>
        <v>3260.1832684358296</v>
      </c>
      <c r="K95" s="192">
        <f t="shared" si="21"/>
        <v>3165.2264742095431</v>
      </c>
      <c r="L95" s="192">
        <f t="shared" si="21"/>
        <v>3073.0354118539253</v>
      </c>
      <c r="M95" s="192">
        <f t="shared" si="21"/>
        <v>866.90553191851473</v>
      </c>
      <c r="N95" s="192">
        <f t="shared" si="21"/>
        <v>841.6558562315679</v>
      </c>
      <c r="O95" s="192">
        <f t="shared" si="21"/>
        <v>817.14160799181354</v>
      </c>
      <c r="P95" s="192">
        <f t="shared" si="21"/>
        <v>793.34136698234306</v>
      </c>
      <c r="Q95" s="192">
        <f t="shared" si="21"/>
        <v>770.23433687606121</v>
      </c>
      <c r="R95" s="192">
        <f t="shared" si="21"/>
        <v>747.80032706413726</v>
      </c>
      <c r="S95" s="192">
        <f t="shared" si="21"/>
        <v>726.01973501372549</v>
      </c>
      <c r="T95" s="192">
        <f t="shared" si="21"/>
        <v>704.8735291395393</v>
      </c>
      <c r="U95" s="192">
        <f t="shared" si="21"/>
        <v>684.34323217431006</v>
      </c>
      <c r="V95" s="192">
        <f t="shared" si="21"/>
        <v>664.41090502360191</v>
      </c>
      <c r="W95" s="192">
        <f t="shared" si="21"/>
        <v>645.05913109087578</v>
      </c>
      <c r="X95" s="192">
        <f t="shared" si="21"/>
        <v>626.27100105910267</v>
      </c>
      <c r="Y95" s="192">
        <f t="shared" si="21"/>
        <v>608.03009811563356</v>
      </c>
      <c r="Z95" s="192">
        <f t="shared" si="21"/>
        <v>590.32048360741135</v>
      </c>
      <c r="AA95" s="198">
        <f t="shared" si="21"/>
        <v>573.12668311399159</v>
      </c>
    </row>
    <row r="96" spans="1:27" ht="15.75" thickBot="1" x14ac:dyDescent="0.3">
      <c r="A96" s="199" t="s">
        <v>150</v>
      </c>
      <c r="B96" s="200">
        <f>(B13/$B$46)</f>
        <v>0</v>
      </c>
      <c r="C96" s="200">
        <f>(C13/$B$46)</f>
        <v>72672</v>
      </c>
      <c r="D96" s="200">
        <f>(D13/$B$46)</f>
        <v>72308.639999999999</v>
      </c>
      <c r="E96" s="200">
        <f t="shared" ref="E96:AA96" si="22">(E13/$B$46)</f>
        <v>71947.096799999999</v>
      </c>
      <c r="F96" s="200">
        <f t="shared" si="22"/>
        <v>71587.361315999995</v>
      </c>
      <c r="G96" s="200">
        <f t="shared" si="22"/>
        <v>71229.424509420001</v>
      </c>
      <c r="H96" s="200">
        <f t="shared" si="22"/>
        <v>70873.277386872898</v>
      </c>
      <c r="I96" s="200">
        <f t="shared" si="22"/>
        <v>70518.91099993854</v>
      </c>
      <c r="J96" s="200">
        <f t="shared" si="22"/>
        <v>70166.316444938842</v>
      </c>
      <c r="K96" s="200">
        <f t="shared" si="22"/>
        <v>69815.484862714147</v>
      </c>
      <c r="L96" s="200">
        <f t="shared" si="22"/>
        <v>69466.40743840058</v>
      </c>
      <c r="M96" s="200">
        <f t="shared" si="22"/>
        <v>69119.075401208567</v>
      </c>
      <c r="N96" s="200">
        <f t="shared" si="22"/>
        <v>68773.480024202538</v>
      </c>
      <c r="O96" s="200">
        <f t="shared" si="22"/>
        <v>68429.612624081521</v>
      </c>
      <c r="P96" s="200">
        <f t="shared" si="22"/>
        <v>68087.464560961118</v>
      </c>
      <c r="Q96" s="200">
        <f t="shared" si="22"/>
        <v>67747.027238156297</v>
      </c>
      <c r="R96" s="200">
        <f t="shared" si="22"/>
        <v>67408.292101965519</v>
      </c>
      <c r="S96" s="200">
        <f t="shared" si="22"/>
        <v>67071.250641455699</v>
      </c>
      <c r="T96" s="200">
        <f t="shared" si="22"/>
        <v>66735.894388248416</v>
      </c>
      <c r="U96" s="200">
        <f t="shared" si="22"/>
        <v>66402.214916307174</v>
      </c>
      <c r="V96" s="200">
        <f t="shared" si="22"/>
        <v>66070.203841725626</v>
      </c>
      <c r="W96" s="200">
        <f t="shared" si="22"/>
        <v>65739.852822517001</v>
      </c>
      <c r="X96" s="200">
        <f t="shared" si="22"/>
        <v>65411.153558404418</v>
      </c>
      <c r="Y96" s="200">
        <f t="shared" si="22"/>
        <v>65084.097790612395</v>
      </c>
      <c r="Z96" s="200">
        <f t="shared" si="22"/>
        <v>64758.677301659329</v>
      </c>
      <c r="AA96" s="201">
        <f t="shared" si="22"/>
        <v>64434.883915151026</v>
      </c>
    </row>
    <row r="98" spans="1:26" x14ac:dyDescent="0.25">
      <c r="A98" s="10" t="s">
        <v>148</v>
      </c>
      <c r="B98" s="82">
        <f>SUM(B95:AA95)</f>
        <v>101698.44090677179</v>
      </c>
    </row>
    <row r="99" spans="1:26" x14ac:dyDescent="0.25">
      <c r="A99" s="10" t="s">
        <v>149</v>
      </c>
      <c r="B99" s="47">
        <f>SUM(B96:AA96)</f>
        <v>1711858.1008849416</v>
      </c>
    </row>
    <row r="101" spans="1:26" x14ac:dyDescent="0.25">
      <c r="A101" s="10" t="s">
        <v>146</v>
      </c>
      <c r="B101" s="202">
        <f>B98/B99</f>
        <v>5.9408218972237817E-2</v>
      </c>
    </row>
    <row r="105" spans="1:26" x14ac:dyDescent="0.25">
      <c r="A105" s="253" t="s">
        <v>170</v>
      </c>
    </row>
    <row r="108" spans="1:26" ht="15.75" thickBot="1" x14ac:dyDescent="0.3"/>
    <row r="109" spans="1:26" x14ac:dyDescent="0.25">
      <c r="A109" s="254" t="s">
        <v>18</v>
      </c>
      <c r="B109" s="84">
        <v>1</v>
      </c>
      <c r="C109" s="84">
        <v>2</v>
      </c>
      <c r="D109" s="84">
        <v>3</v>
      </c>
      <c r="E109" s="84">
        <v>4</v>
      </c>
      <c r="F109" s="84">
        <v>5</v>
      </c>
      <c r="G109" s="84">
        <v>6</v>
      </c>
      <c r="H109" s="84">
        <v>7</v>
      </c>
      <c r="I109" s="84">
        <v>8</v>
      </c>
      <c r="J109" s="84">
        <v>9</v>
      </c>
      <c r="K109" s="84">
        <v>10</v>
      </c>
      <c r="L109" s="84">
        <v>11</v>
      </c>
      <c r="M109" s="84">
        <v>12</v>
      </c>
      <c r="N109" s="84">
        <v>13</v>
      </c>
      <c r="O109" s="84">
        <v>14</v>
      </c>
      <c r="P109" s="84">
        <v>15</v>
      </c>
      <c r="Q109" s="84">
        <v>16</v>
      </c>
      <c r="R109" s="84">
        <v>17</v>
      </c>
      <c r="S109" s="84">
        <v>18</v>
      </c>
      <c r="T109" s="84">
        <v>19</v>
      </c>
      <c r="U109" s="84">
        <v>20</v>
      </c>
      <c r="V109" s="84">
        <v>21</v>
      </c>
      <c r="W109" s="84">
        <v>22</v>
      </c>
      <c r="X109" s="84">
        <v>23</v>
      </c>
      <c r="Y109" s="84">
        <v>24</v>
      </c>
      <c r="Z109" s="85">
        <v>25</v>
      </c>
    </row>
    <row r="110" spans="1:26" x14ac:dyDescent="0.25">
      <c r="A110" s="113" t="s">
        <v>173</v>
      </c>
      <c r="B110" s="179">
        <f>PPA!C61</f>
        <v>6.5000000000000002E-2</v>
      </c>
      <c r="C110" s="179">
        <f>B110*(1+(PPA!$D$53))</f>
        <v>6.565E-2</v>
      </c>
      <c r="D110" s="179">
        <f>C110*(1+(PPA!$D$53))</f>
        <v>6.6306500000000004E-2</v>
      </c>
      <c r="E110" s="179">
        <f>D110*(1+(PPA!$D$53))</f>
        <v>6.6969565000000009E-2</v>
      </c>
      <c r="F110" s="179">
        <f>E110*(1+(PPA!$D$53))</f>
        <v>6.7639260650000005E-2</v>
      </c>
      <c r="G110" s="179">
        <f>F110*(1+(PPA!$D$53))</f>
        <v>6.8315653256500006E-2</v>
      </c>
      <c r="H110" s="179">
        <f>G110*(1+(PPA!$D$53))</f>
        <v>6.8998809789065002E-2</v>
      </c>
      <c r="I110" s="179">
        <f>H110*(1+(PPA!$D$53))</f>
        <v>6.9688797886955658E-2</v>
      </c>
      <c r="J110" s="179">
        <f>I110*(1+(PPA!$D$53))</f>
        <v>7.038568586582522E-2</v>
      </c>
      <c r="K110" s="179">
        <f>J110*(1+(PPA!$D$53))</f>
        <v>7.1089542724483479E-2</v>
      </c>
      <c r="L110" s="179">
        <f>K110*(1+(PPA!$D$53))</f>
        <v>7.1800438151728319E-2</v>
      </c>
      <c r="M110" s="179">
        <f>L110*(1+(PPA!$D$53))</f>
        <v>7.2518442533245603E-2</v>
      </c>
      <c r="N110" s="179">
        <f>M110*(1+(PPA!$D$53))</f>
        <v>7.3243626958578056E-2</v>
      </c>
      <c r="O110" s="179">
        <f>N110*(1+(PPA!$D$53))</f>
        <v>7.3976063228163844E-2</v>
      </c>
      <c r="P110" s="179">
        <f>O110*(1+(PPA!$D$53))</f>
        <v>7.4715823860445479E-2</v>
      </c>
      <c r="Q110" s="179">
        <f>P110*(1+(PPA!$D$53))</f>
        <v>7.5462982099049933E-2</v>
      </c>
      <c r="R110" s="179">
        <f>Q110*(1+(PPA!$D$53))</f>
        <v>7.6217611920040437E-2</v>
      </c>
      <c r="S110" s="179">
        <f>R110*(1+(PPA!$D$53))</f>
        <v>7.697978803924084E-2</v>
      </c>
      <c r="T110" s="179">
        <f>S110*(1+(PPA!$D$53))</f>
        <v>7.7749585919633254E-2</v>
      </c>
      <c r="U110" s="179">
        <f>T110*(1+(PPA!$D$53))</f>
        <v>7.8527081778829583E-2</v>
      </c>
      <c r="V110" s="179">
        <f>U110*(1+(PPA!$D$53))</f>
        <v>7.9312352596617883E-2</v>
      </c>
      <c r="W110" s="179">
        <f>V110*(1+(PPA!$D$53))</f>
        <v>8.0105476122584063E-2</v>
      </c>
      <c r="X110" s="179">
        <f>W110*(1+(PPA!$D$53))</f>
        <v>8.0906530883809905E-2</v>
      </c>
      <c r="Y110" s="179">
        <f>X110*(1+(PPA!$D$53))</f>
        <v>8.171559619264801E-2</v>
      </c>
      <c r="Z110" s="139">
        <f>Y110*(1+(PPA!$D$53))</f>
        <v>8.2532752154574493E-2</v>
      </c>
    </row>
    <row r="111" spans="1:26" ht="15.75" thickBot="1" x14ac:dyDescent="0.3">
      <c r="A111" s="114" t="s">
        <v>174</v>
      </c>
      <c r="B111" s="255">
        <f>IF($B$101&lt;'PPA Cashflow'!$B$46,('PPA Cashflow'!$B$46-'PPA Cashflow'!$B$110)*('PPA Cashflow'!C13/'PPA Cashflow'!$B$46),0)</f>
        <v>1097.3472000000002</v>
      </c>
      <c r="C111" s="255">
        <f>IF($B$101&lt;'PPA Cashflow'!$B$46,('PPA Cashflow'!$B$46-'PPA Cashflow'!$B$110)*('PPA Cashflow'!D13/'PPA Cashflow'!$B$46),0)</f>
        <v>1091.8604640000001</v>
      </c>
      <c r="D111" s="255">
        <f>IF($B$101&lt;'PPA Cashflow'!$B$46,('PPA Cashflow'!$B$46-'PPA Cashflow'!$B$110)*('PPA Cashflow'!E13/'PPA Cashflow'!$B$46),0)</f>
        <v>1086.4011616800001</v>
      </c>
      <c r="E111" s="255">
        <f>IF($B$101&lt;'PPA Cashflow'!$B$46,('PPA Cashflow'!$B$46-'PPA Cashflow'!$B$110)*('PPA Cashflow'!F13/'PPA Cashflow'!$B$46),0)</f>
        <v>1080.9691558716002</v>
      </c>
      <c r="F111" s="255">
        <f>IF($B$101&lt;'PPA Cashflow'!$B$46,('PPA Cashflow'!$B$46-'PPA Cashflow'!$B$110)*('PPA Cashflow'!G13/'PPA Cashflow'!$B$46),0)</f>
        <v>1075.5643100922423</v>
      </c>
      <c r="G111" s="255">
        <f>IF($B$101&lt;'PPA Cashflow'!$B$46,('PPA Cashflow'!$B$46-'PPA Cashflow'!$B$110)*('PPA Cashflow'!H13/'PPA Cashflow'!$B$46),0)</f>
        <v>1070.1864885417808</v>
      </c>
      <c r="H111" s="255">
        <f>IF($B$101&lt;'PPA Cashflow'!$B$46,('PPA Cashflow'!$B$46-'PPA Cashflow'!$B$110)*('PPA Cashflow'!I13/'PPA Cashflow'!$B$46),0)</f>
        <v>1064.8355560990722</v>
      </c>
      <c r="I111" s="255">
        <f>IF($B$101&lt;'PPA Cashflow'!$B$46,('PPA Cashflow'!$B$46-'PPA Cashflow'!$B$110)*('PPA Cashflow'!J13/'PPA Cashflow'!$B$46),0)</f>
        <v>1059.5113783185766</v>
      </c>
      <c r="J111" s="255">
        <f>IF($B$101&lt;'PPA Cashflow'!$B$46,('PPA Cashflow'!$B$46-'PPA Cashflow'!$B$110)*('PPA Cashflow'!K13/'PPA Cashflow'!$B$46),0)</f>
        <v>1054.2138214269837</v>
      </c>
      <c r="K111" s="255">
        <f>IF($B$101&lt;'PPA Cashflow'!$B$46,('PPA Cashflow'!$B$46-'PPA Cashflow'!$B$110)*('PPA Cashflow'!L13/'PPA Cashflow'!$B$46),0)</f>
        <v>1048.942752319849</v>
      </c>
      <c r="L111" s="255">
        <f>IF($B$101&lt;'PPA Cashflow'!$B$46,('PPA Cashflow'!$B$46-'PPA Cashflow'!$B$110)*('PPA Cashflow'!M13/'PPA Cashflow'!$B$46),0)</f>
        <v>1043.6980385582494</v>
      </c>
      <c r="M111" s="255">
        <f>IF($B$101&lt;'PPA Cashflow'!$B$46,('PPA Cashflow'!$B$46-'PPA Cashflow'!$B$110)*('PPA Cashflow'!N13/'PPA Cashflow'!$B$46),0)</f>
        <v>1038.4795483654584</v>
      </c>
      <c r="N111" s="255">
        <f>IF($B$101&lt;'PPA Cashflow'!$B$46,('PPA Cashflow'!$B$46-'PPA Cashflow'!$B$110)*('PPA Cashflow'!O13/'PPA Cashflow'!$B$46),0)</f>
        <v>1033.2871506236311</v>
      </c>
      <c r="O111" s="255">
        <f>IF($B$101&lt;'PPA Cashflow'!$B$46,('PPA Cashflow'!$B$46-'PPA Cashflow'!$B$110)*('PPA Cashflow'!P13/'PPA Cashflow'!$B$46),0)</f>
        <v>1028.120714870513</v>
      </c>
      <c r="P111" s="255">
        <f>IF($B$101&lt;'PPA Cashflow'!$B$46,('PPA Cashflow'!$B$46-'PPA Cashflow'!$B$110)*('PPA Cashflow'!Q13/'PPA Cashflow'!$B$46),0)</f>
        <v>1022.9801112961602</v>
      </c>
      <c r="Q111" s="255">
        <f>IF($B$101&lt;'PPA Cashflow'!$B$46,('PPA Cashflow'!$B$46-'PPA Cashflow'!$B$110)*('PPA Cashflow'!R13/'PPA Cashflow'!$B$46),0)</f>
        <v>1017.8652107396795</v>
      </c>
      <c r="R111" s="255">
        <f>IF($B$101&lt;'PPA Cashflow'!$B$46,('PPA Cashflow'!$B$46-'PPA Cashflow'!$B$110)*('PPA Cashflow'!S13/'PPA Cashflow'!$B$46),0)</f>
        <v>1012.7758846859812</v>
      </c>
      <c r="S111" s="255">
        <f>IF($B$101&lt;'PPA Cashflow'!$B$46,('PPA Cashflow'!$B$46-'PPA Cashflow'!$B$110)*('PPA Cashflow'!T13/'PPA Cashflow'!$B$46),0)</f>
        <v>1007.7120052625512</v>
      </c>
      <c r="T111" s="255">
        <f>IF($B$101&lt;'PPA Cashflow'!$B$46,('PPA Cashflow'!$B$46-'PPA Cashflow'!$B$110)*('PPA Cashflow'!U13/'PPA Cashflow'!$B$46),0)</f>
        <v>1002.6734452362384</v>
      </c>
      <c r="U111" s="255">
        <f>IF($B$101&lt;'PPA Cashflow'!$B$46,('PPA Cashflow'!$B$46-'PPA Cashflow'!$B$110)*('PPA Cashflow'!V13/'PPA Cashflow'!$B$46),0)</f>
        <v>997.66007801005708</v>
      </c>
      <c r="V111" s="255">
        <f>IF($B$101&lt;'PPA Cashflow'!$B$46,('PPA Cashflow'!$B$46-'PPA Cashflow'!$B$110)*('PPA Cashflow'!W13/'PPA Cashflow'!$B$46),0)</f>
        <v>992.67177762000688</v>
      </c>
      <c r="W111" s="255">
        <f>IF($B$101&lt;'PPA Cashflow'!$B$46,('PPA Cashflow'!$B$46-'PPA Cashflow'!$B$110)*('PPA Cashflow'!X13/'PPA Cashflow'!$B$46),0)</f>
        <v>987.70841873190682</v>
      </c>
      <c r="X111" s="255">
        <f>IF($B$101&lt;'PPA Cashflow'!$B$46,('PPA Cashflow'!$B$46-'PPA Cashflow'!$B$110)*('PPA Cashflow'!Y13/'PPA Cashflow'!$B$46),0)</f>
        <v>982.7698766382473</v>
      </c>
      <c r="Y111" s="255">
        <f>IF($B$101&lt;'PPA Cashflow'!$B$46,('PPA Cashflow'!$B$46-'PPA Cashflow'!$B$110)*('PPA Cashflow'!Z13/'PPA Cashflow'!$B$46),0)</f>
        <v>977.85602725505601</v>
      </c>
      <c r="Z111" s="256">
        <f>IF($B$101&lt;'PPA Cashflow'!$B$46,('PPA Cashflow'!$B$46-'PPA Cashflow'!$B$110)*('PPA Cashflow'!AA13/'PPA Cashflow'!$B$46),0)</f>
        <v>972.96674711878063</v>
      </c>
    </row>
    <row r="112" spans="1:26" x14ac:dyDescent="0.25">
      <c r="A112" s="194" t="s">
        <v>176</v>
      </c>
      <c r="B112" s="257">
        <f>SUM(B111:Z111)</f>
        <v>25849.05732336262</v>
      </c>
      <c r="C112" s="192"/>
      <c r="D112" s="192"/>
      <c r="E112" s="192"/>
      <c r="F112" s="192"/>
      <c r="G112" s="192"/>
      <c r="H112" s="192"/>
      <c r="I112" s="192"/>
      <c r="J112" s="192"/>
      <c r="K112" s="192"/>
      <c r="L112" s="192"/>
      <c r="M112" s="192"/>
      <c r="N112" s="192"/>
      <c r="O112" s="192"/>
      <c r="P112" s="192"/>
      <c r="Q112" s="192"/>
      <c r="R112" s="192"/>
      <c r="S112" s="192"/>
      <c r="T112" s="192"/>
      <c r="U112" s="192"/>
      <c r="V112" s="192"/>
      <c r="W112" s="192"/>
      <c r="X112" s="192"/>
      <c r="Y112" s="192"/>
      <c r="Z112" s="192"/>
    </row>
    <row r="113" spans="1:3" ht="15.75" thickBot="1" x14ac:dyDescent="0.3">
      <c r="A113" s="199" t="s">
        <v>175</v>
      </c>
      <c r="B113" s="258">
        <f>NPV(B37,B111:Z111)</f>
        <v>18142.180987294891</v>
      </c>
    </row>
    <row r="114" spans="1:3" x14ac:dyDescent="0.25">
      <c r="B114" s="203"/>
      <c r="C114" s="252"/>
    </row>
  </sheetData>
  <sheetProtection algorithmName="SHA-512" hashValue="6hC/t52BpS80N4zglH2/GZ1TF2aKLExf56Tg8KdamveCMWXlzma2I3S8/1fTMcVRqy7hytG6xxIDq0Fy9ho4rg==" saltValue="5d7GsToGjRvrtLyQwRFGxg==" spinCount="100000" sheet="1" objects="1" scenarios="1"/>
  <mergeCells count="3">
    <mergeCell ref="E1:J1"/>
    <mergeCell ref="A43:B43"/>
    <mergeCell ref="C83:C88"/>
  </mergeCells>
  <pageMargins left="0.7" right="0.7" top="0.75" bottom="0.75" header="0.3" footer="0.3"/>
  <pageSetup paperSize="9" fitToWidth="0" fitToHeight="0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4:G19"/>
  <sheetViews>
    <sheetView topLeftCell="A3" zoomScale="156" workbookViewId="0">
      <selection activeCell="C19" sqref="C19"/>
    </sheetView>
  </sheetViews>
  <sheetFormatPr defaultColWidth="8.85546875" defaultRowHeight="15" x14ac:dyDescent="0.25"/>
  <cols>
    <col min="3" max="3" width="15.140625" bestFit="1" customWidth="1"/>
    <col min="4" max="4" width="21.140625" customWidth="1"/>
  </cols>
  <sheetData>
    <row r="4" spans="2:4" x14ac:dyDescent="0.25">
      <c r="B4" s="1" t="s">
        <v>2</v>
      </c>
      <c r="C4" s="1"/>
      <c r="D4" t="s">
        <v>130</v>
      </c>
    </row>
    <row r="5" spans="2:4" ht="15.75" thickBot="1" x14ac:dyDescent="0.3"/>
    <row r="6" spans="2:4" ht="30" x14ac:dyDescent="0.25">
      <c r="B6" s="7" t="s">
        <v>3</v>
      </c>
      <c r="C6" s="8" t="s">
        <v>16</v>
      </c>
      <c r="D6" s="9" t="s">
        <v>2</v>
      </c>
    </row>
    <row r="7" spans="2:4" x14ac:dyDescent="0.25">
      <c r="B7" s="3" t="s">
        <v>4</v>
      </c>
      <c r="C7" s="2">
        <v>27.62</v>
      </c>
      <c r="D7" s="5">
        <f>7.98*C7</f>
        <v>220.40760000000003</v>
      </c>
    </row>
    <row r="8" spans="2:4" x14ac:dyDescent="0.25">
      <c r="B8" s="3" t="s">
        <v>5</v>
      </c>
      <c r="C8" s="2">
        <v>29.91</v>
      </c>
      <c r="D8" s="5">
        <f t="shared" ref="D8:D18" si="0">7.98*C8</f>
        <v>238.68180000000001</v>
      </c>
    </row>
    <row r="9" spans="2:4" x14ac:dyDescent="0.25">
      <c r="B9" s="3" t="s">
        <v>6</v>
      </c>
      <c r="C9" s="2">
        <v>32.97</v>
      </c>
      <c r="D9" s="5">
        <f t="shared" si="0"/>
        <v>263.10059999999999</v>
      </c>
    </row>
    <row r="10" spans="2:4" x14ac:dyDescent="0.25">
      <c r="B10" s="3" t="s">
        <v>7</v>
      </c>
      <c r="C10" s="2">
        <v>33.479999999999997</v>
      </c>
      <c r="D10" s="5">
        <f t="shared" si="0"/>
        <v>267.17039999999997</v>
      </c>
    </row>
    <row r="11" spans="2:4" x14ac:dyDescent="0.25">
      <c r="B11" s="3" t="s">
        <v>8</v>
      </c>
      <c r="C11" s="2">
        <v>32.47</v>
      </c>
      <c r="D11" s="5">
        <f t="shared" si="0"/>
        <v>259.11059999999998</v>
      </c>
    </row>
    <row r="12" spans="2:4" x14ac:dyDescent="0.25">
      <c r="B12" s="3" t="s">
        <v>9</v>
      </c>
      <c r="C12" s="2">
        <v>31.73</v>
      </c>
      <c r="D12" s="5">
        <f t="shared" si="0"/>
        <v>253.20540000000003</v>
      </c>
    </row>
    <row r="13" spans="2:4" x14ac:dyDescent="0.25">
      <c r="B13" s="3" t="s">
        <v>10</v>
      </c>
      <c r="C13" s="2">
        <v>30.41</v>
      </c>
      <c r="D13" s="5">
        <f t="shared" si="0"/>
        <v>242.67180000000002</v>
      </c>
    </row>
    <row r="14" spans="2:4" x14ac:dyDescent="0.25">
      <c r="B14" s="3" t="s">
        <v>11</v>
      </c>
      <c r="C14" s="2">
        <v>29.57</v>
      </c>
      <c r="D14" s="5">
        <f t="shared" si="0"/>
        <v>235.96860000000001</v>
      </c>
    </row>
    <row r="15" spans="2:4" x14ac:dyDescent="0.25">
      <c r="B15" s="3" t="s">
        <v>12</v>
      </c>
      <c r="C15" s="2">
        <v>31.32</v>
      </c>
      <c r="D15" s="5">
        <f t="shared" si="0"/>
        <v>249.93360000000001</v>
      </c>
    </row>
    <row r="16" spans="2:4" x14ac:dyDescent="0.25">
      <c r="B16" s="3" t="s">
        <v>13</v>
      </c>
      <c r="C16" s="2">
        <v>30.41</v>
      </c>
      <c r="D16" s="5">
        <f t="shared" si="0"/>
        <v>242.67180000000002</v>
      </c>
    </row>
    <row r="17" spans="2:7" x14ac:dyDescent="0.25">
      <c r="B17" s="3" t="s">
        <v>14</v>
      </c>
      <c r="C17" s="2">
        <v>26.48</v>
      </c>
      <c r="D17" s="5">
        <f t="shared" si="0"/>
        <v>211.31040000000002</v>
      </c>
      <c r="G17">
        <f>100*F19</f>
        <v>904.5</v>
      </c>
    </row>
    <row r="18" spans="2:7" x14ac:dyDescent="0.25">
      <c r="B18" s="3" t="s">
        <v>15</v>
      </c>
      <c r="C18" s="2">
        <v>25.43</v>
      </c>
      <c r="D18" s="5">
        <f t="shared" si="0"/>
        <v>202.9314</v>
      </c>
    </row>
    <row r="19" spans="2:7" ht="15.75" thickBot="1" x14ac:dyDescent="0.3">
      <c r="B19" s="4" t="s">
        <v>17</v>
      </c>
      <c r="C19" s="131">
        <f>SUM(C7:C18)</f>
        <v>361.8</v>
      </c>
      <c r="D19" s="6">
        <f>SUM(D7:D18)</f>
        <v>2887.1639999999998</v>
      </c>
      <c r="F19">
        <f>C19/40</f>
        <v>9.0449999999999999</v>
      </c>
    </row>
  </sheetData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4:G50"/>
  <sheetViews>
    <sheetView topLeftCell="A2" zoomScale="110" zoomScaleNormal="110" workbookViewId="0">
      <selection activeCell="C11" sqref="C11"/>
    </sheetView>
  </sheetViews>
  <sheetFormatPr defaultColWidth="11.42578125" defaultRowHeight="15" x14ac:dyDescent="0.25"/>
  <cols>
    <col min="2" max="2" width="14.42578125" customWidth="1"/>
    <col min="3" max="3" width="16.85546875" bestFit="1" customWidth="1"/>
    <col min="4" max="4" width="12.42578125" customWidth="1"/>
    <col min="6" max="6" width="11.140625" bestFit="1" customWidth="1"/>
  </cols>
  <sheetData>
    <row r="4" spans="2:4" ht="15.75" thickBot="1" x14ac:dyDescent="0.3"/>
    <row r="5" spans="2:4" ht="15.75" thickBot="1" x14ac:dyDescent="0.3">
      <c r="B5" s="177" t="s">
        <v>134</v>
      </c>
      <c r="C5" s="182" t="s">
        <v>131</v>
      </c>
      <c r="D5" s="171"/>
    </row>
    <row r="6" spans="2:4" x14ac:dyDescent="0.25">
      <c r="B6" s="178" t="s">
        <v>138</v>
      </c>
      <c r="D6" s="173"/>
    </row>
    <row r="7" spans="2:4" x14ac:dyDescent="0.25">
      <c r="B7" s="172"/>
      <c r="D7" s="173"/>
    </row>
    <row r="8" spans="2:4" x14ac:dyDescent="0.25">
      <c r="B8" s="183" t="s">
        <v>139</v>
      </c>
      <c r="C8" s="180">
        <v>210887</v>
      </c>
      <c r="D8" s="139" t="s">
        <v>132</v>
      </c>
    </row>
    <row r="9" spans="2:4" x14ac:dyDescent="0.25">
      <c r="B9" s="183" t="s">
        <v>140</v>
      </c>
      <c r="C9" s="179" t="s">
        <v>133</v>
      </c>
      <c r="D9" s="139"/>
    </row>
    <row r="10" spans="2:4" x14ac:dyDescent="0.25">
      <c r="B10" s="178"/>
      <c r="D10" s="173"/>
    </row>
    <row r="11" spans="2:4" x14ac:dyDescent="0.25">
      <c r="B11" s="183" t="s">
        <v>135</v>
      </c>
      <c r="C11" s="185">
        <f>C13*C8</f>
        <v>3690522.5</v>
      </c>
      <c r="D11" s="173"/>
    </row>
    <row r="12" spans="2:4" x14ac:dyDescent="0.25">
      <c r="B12" s="183"/>
      <c r="C12" s="185"/>
      <c r="D12" s="173"/>
    </row>
    <row r="13" spans="2:4" x14ac:dyDescent="0.25">
      <c r="B13" s="183" t="s">
        <v>137</v>
      </c>
      <c r="C13" s="169">
        <v>17.5</v>
      </c>
      <c r="D13" s="173"/>
    </row>
    <row r="14" spans="2:4" ht="15.75" thickBot="1" x14ac:dyDescent="0.3">
      <c r="B14" s="174"/>
      <c r="C14" s="175"/>
      <c r="D14" s="176"/>
    </row>
    <row r="16" spans="2:4" ht="15.75" thickBot="1" x14ac:dyDescent="0.3"/>
    <row r="17" spans="2:4" ht="15.75" thickBot="1" x14ac:dyDescent="0.3">
      <c r="B17" s="177" t="s">
        <v>141</v>
      </c>
      <c r="C17" s="170"/>
      <c r="D17" s="171"/>
    </row>
    <row r="18" spans="2:4" x14ac:dyDescent="0.25">
      <c r="B18" s="172"/>
      <c r="D18" s="173"/>
    </row>
    <row r="19" spans="2:4" x14ac:dyDescent="0.25">
      <c r="B19" s="183" t="s">
        <v>139</v>
      </c>
      <c r="C19" s="180">
        <v>210887</v>
      </c>
      <c r="D19" s="139" t="s">
        <v>132</v>
      </c>
    </row>
    <row r="20" spans="2:4" x14ac:dyDescent="0.25">
      <c r="B20" s="183" t="s">
        <v>142</v>
      </c>
      <c r="C20" s="179" t="s">
        <v>143</v>
      </c>
      <c r="D20" s="187"/>
    </row>
    <row r="21" spans="2:4" x14ac:dyDescent="0.25">
      <c r="B21" s="172"/>
      <c r="D21" s="173"/>
    </row>
    <row r="22" spans="2:4" x14ac:dyDescent="0.25">
      <c r="B22" s="113" t="s">
        <v>135</v>
      </c>
      <c r="C22" s="185">
        <f>7969.5*365</f>
        <v>2908867.5</v>
      </c>
      <c r="D22" s="173"/>
    </row>
    <row r="23" spans="2:4" x14ac:dyDescent="0.25">
      <c r="B23" s="113" t="s">
        <v>136</v>
      </c>
      <c r="C23" s="181">
        <v>1232.3</v>
      </c>
      <c r="D23" s="173"/>
    </row>
    <row r="24" spans="2:4" ht="15.75" thickBot="1" x14ac:dyDescent="0.3">
      <c r="B24" s="114" t="s">
        <v>137</v>
      </c>
      <c r="C24" s="188">
        <v>15.8</v>
      </c>
      <c r="D24" s="176"/>
    </row>
    <row r="28" spans="2:4" x14ac:dyDescent="0.25">
      <c r="B28" s="1"/>
    </row>
    <row r="30" spans="2:4" x14ac:dyDescent="0.25">
      <c r="B30" s="10"/>
      <c r="C30" s="231"/>
      <c r="D30" s="10"/>
    </row>
    <row r="31" spans="2:4" x14ac:dyDescent="0.25">
      <c r="B31" s="10"/>
    </row>
    <row r="33" spans="2:7" x14ac:dyDescent="0.25">
      <c r="B33" s="10"/>
      <c r="C33" s="184"/>
    </row>
    <row r="34" spans="2:7" x14ac:dyDescent="0.25">
      <c r="B34" s="10"/>
      <c r="C34" s="184"/>
    </row>
    <row r="35" spans="2:7" x14ac:dyDescent="0.25">
      <c r="B35" s="10"/>
      <c r="C35" s="186"/>
    </row>
    <row r="43" spans="2:7" x14ac:dyDescent="0.25">
      <c r="F43" s="10"/>
    </row>
    <row r="45" spans="2:7" x14ac:dyDescent="0.25">
      <c r="G45" s="10"/>
    </row>
    <row r="46" spans="2:7" x14ac:dyDescent="0.25">
      <c r="D46" s="10"/>
      <c r="F46" s="189"/>
      <c r="G46" s="10"/>
    </row>
    <row r="50" spans="4:5" x14ac:dyDescent="0.25">
      <c r="D50" s="189"/>
      <c r="E50" s="10"/>
    </row>
  </sheetData>
  <sheetProtection algorithmName="SHA-512" hashValue="SEYXSm216y8DbQWiFBxKV1gDk4kiTtKpRWK0nlAwlKDYdnMdG6r46tw2V/YQWj1TU6BAVmNW9h64COnrGyamsg==" saltValue="+w4+yRU0eSJoa8PMS+/Veg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42"/>
  <sheetViews>
    <sheetView zoomScale="61" zoomScaleNormal="75" zoomScalePageLayoutView="75" workbookViewId="0">
      <selection activeCell="E21" sqref="E21"/>
    </sheetView>
  </sheetViews>
  <sheetFormatPr defaultColWidth="11.42578125" defaultRowHeight="21" x14ac:dyDescent="0.35"/>
  <cols>
    <col min="1" max="1" width="16.85546875" bestFit="1" customWidth="1"/>
    <col min="2" max="2" width="30.28515625" bestFit="1" customWidth="1"/>
    <col min="3" max="3" width="38.140625" style="268" bestFit="1" customWidth="1"/>
    <col min="4" max="4" width="18" customWidth="1"/>
    <col min="5" max="5" width="19" customWidth="1"/>
    <col min="6" max="6" width="46.28515625" bestFit="1" customWidth="1"/>
    <col min="7" max="7" width="40.42578125" bestFit="1" customWidth="1"/>
    <col min="8" max="8" width="34.140625" bestFit="1" customWidth="1"/>
    <col min="9" max="9" width="33" bestFit="1" customWidth="1"/>
    <col min="10" max="10" width="17.7109375" customWidth="1"/>
    <col min="11" max="11" width="19.140625" customWidth="1"/>
    <col min="12" max="12" width="18.28515625" customWidth="1"/>
  </cols>
  <sheetData>
    <row r="1" spans="2:12" ht="21.75" thickBot="1" x14ac:dyDescent="0.4"/>
    <row r="2" spans="2:12" ht="19.5" x14ac:dyDescent="0.25">
      <c r="B2" s="360" t="s">
        <v>209</v>
      </c>
      <c r="C2" s="361"/>
      <c r="D2" s="363" t="s">
        <v>178</v>
      </c>
      <c r="E2" s="363"/>
      <c r="F2" s="363" t="s">
        <v>179</v>
      </c>
      <c r="G2" s="363"/>
      <c r="H2" s="363" t="s">
        <v>182</v>
      </c>
      <c r="I2" s="364"/>
      <c r="J2" s="362"/>
      <c r="K2" s="362"/>
      <c r="L2" s="362"/>
    </row>
    <row r="3" spans="2:12" ht="20.25" thickBot="1" x14ac:dyDescent="0.3">
      <c r="B3" s="306" t="s">
        <v>144</v>
      </c>
      <c r="C3" s="307" t="s">
        <v>198</v>
      </c>
      <c r="D3" s="307" t="s">
        <v>158</v>
      </c>
      <c r="E3" s="307" t="s">
        <v>160</v>
      </c>
      <c r="F3" s="331" t="s">
        <v>180</v>
      </c>
      <c r="G3" s="331" t="s">
        <v>181</v>
      </c>
      <c r="H3" s="331" t="s">
        <v>190</v>
      </c>
      <c r="I3" s="332" t="s">
        <v>202</v>
      </c>
      <c r="J3" s="362"/>
      <c r="K3" s="362"/>
      <c r="L3" s="362"/>
    </row>
    <row r="4" spans="2:12" x14ac:dyDescent="0.35">
      <c r="B4" s="335" t="s">
        <v>159</v>
      </c>
      <c r="C4" s="308" t="s">
        <v>195</v>
      </c>
      <c r="D4" s="309">
        <v>1289</v>
      </c>
      <c r="E4" s="310">
        <v>9.0455000000000005</v>
      </c>
      <c r="F4" s="311">
        <v>0.129</v>
      </c>
      <c r="G4" s="312">
        <v>8.23</v>
      </c>
      <c r="H4" s="313">
        <v>744300</v>
      </c>
      <c r="I4" s="314">
        <f>H4*15.97</f>
        <v>11886471</v>
      </c>
      <c r="J4" s="269"/>
      <c r="K4" s="278"/>
      <c r="L4" s="279"/>
    </row>
    <row r="5" spans="2:12" x14ac:dyDescent="0.35">
      <c r="B5" s="315" t="s">
        <v>183</v>
      </c>
      <c r="C5" s="316" t="s">
        <v>206</v>
      </c>
      <c r="D5" s="317">
        <v>1259.9000000000001</v>
      </c>
      <c r="E5" s="318">
        <v>9.200156904</v>
      </c>
      <c r="F5" s="319">
        <v>0.122</v>
      </c>
      <c r="G5" s="320">
        <v>4.6520999999999999</v>
      </c>
      <c r="H5" s="321">
        <v>365540</v>
      </c>
      <c r="I5" s="322">
        <f>H5*13.59</f>
        <v>4967688.5999999996</v>
      </c>
      <c r="J5" s="269"/>
      <c r="K5" s="278"/>
      <c r="L5" s="279"/>
    </row>
    <row r="6" spans="2:12" x14ac:dyDescent="0.35">
      <c r="B6" s="315" t="s">
        <v>189</v>
      </c>
      <c r="C6" s="316" t="s">
        <v>206</v>
      </c>
      <c r="D6" s="317">
        <v>1374.4</v>
      </c>
      <c r="E6" s="318">
        <v>9.2348066299999996</v>
      </c>
      <c r="F6" s="319">
        <v>0.122</v>
      </c>
      <c r="G6" s="320">
        <v>4.6520999999999999</v>
      </c>
      <c r="H6" s="321">
        <v>80902</v>
      </c>
      <c r="I6" s="322">
        <f>H6*13.59</f>
        <v>1099458.18</v>
      </c>
      <c r="J6" s="269"/>
      <c r="K6" s="278"/>
      <c r="L6" s="279"/>
    </row>
    <row r="7" spans="2:12" x14ac:dyDescent="0.35">
      <c r="B7" s="315" t="s">
        <v>187</v>
      </c>
      <c r="C7" s="316" t="s">
        <v>195</v>
      </c>
      <c r="D7" s="317">
        <v>1352.5</v>
      </c>
      <c r="E7" s="318">
        <v>9.4486460910000005</v>
      </c>
      <c r="F7" s="311">
        <v>0.129</v>
      </c>
      <c r="G7" s="312">
        <v>8.23</v>
      </c>
      <c r="H7" s="321">
        <v>297640</v>
      </c>
      <c r="I7" s="322">
        <f>H7*15.97</f>
        <v>4753310.8</v>
      </c>
      <c r="J7" s="269"/>
      <c r="K7" s="278"/>
      <c r="L7" s="279"/>
    </row>
    <row r="8" spans="2:12" x14ac:dyDescent="0.35">
      <c r="B8" s="315" t="s">
        <v>184</v>
      </c>
      <c r="C8" s="316" t="s">
        <v>199</v>
      </c>
      <c r="D8" s="317">
        <v>1312.7</v>
      </c>
      <c r="E8" s="318">
        <v>9.2890214800000006</v>
      </c>
      <c r="F8" s="319">
        <v>8.0100000000000005E-2</v>
      </c>
      <c r="G8" s="320">
        <v>2.81</v>
      </c>
      <c r="H8" s="321">
        <v>219913</v>
      </c>
      <c r="I8" s="322">
        <f>H8*13.79</f>
        <v>3032600.27</v>
      </c>
      <c r="J8" s="269"/>
      <c r="K8" s="278"/>
      <c r="L8" s="279"/>
    </row>
    <row r="9" spans="2:12" x14ac:dyDescent="0.35">
      <c r="B9" s="315" t="s">
        <v>185</v>
      </c>
      <c r="C9" s="316" t="s">
        <v>191</v>
      </c>
      <c r="D9" s="317">
        <v>1354.5</v>
      </c>
      <c r="E9" s="318">
        <v>8.9016666670000006</v>
      </c>
      <c r="F9" s="319">
        <v>0.112</v>
      </c>
      <c r="G9" s="320">
        <v>5.1100000000000003</v>
      </c>
      <c r="H9" s="321">
        <v>395735</v>
      </c>
      <c r="I9" s="322">
        <f>H9*13.59</f>
        <v>5378038.6500000004</v>
      </c>
      <c r="J9" s="269"/>
      <c r="K9" s="278"/>
      <c r="L9" s="279"/>
    </row>
    <row r="10" spans="2:12" x14ac:dyDescent="0.35">
      <c r="B10" s="315" t="s">
        <v>186</v>
      </c>
      <c r="C10" s="316" t="s">
        <v>199</v>
      </c>
      <c r="D10" s="317">
        <v>1274.0999999999999</v>
      </c>
      <c r="E10" s="318">
        <v>9.2626984130000007</v>
      </c>
      <c r="F10" s="319">
        <v>8.0100000000000005E-2</v>
      </c>
      <c r="G10" s="320">
        <v>2.81</v>
      </c>
      <c r="H10" s="321">
        <v>398034</v>
      </c>
      <c r="I10" s="322">
        <f>H10*13.79</f>
        <v>5488888.8599999994</v>
      </c>
      <c r="J10" s="269"/>
      <c r="K10" s="278"/>
      <c r="L10" s="279"/>
    </row>
    <row r="11" spans="2:12" x14ac:dyDescent="0.35">
      <c r="B11" s="315" t="s">
        <v>188</v>
      </c>
      <c r="C11" s="316" t="s">
        <v>207</v>
      </c>
      <c r="D11" s="317">
        <v>1196.3</v>
      </c>
      <c r="E11" s="318">
        <v>9.6999999999999993</v>
      </c>
      <c r="F11" s="319">
        <v>9.8000000000000004E-2</v>
      </c>
      <c r="G11" s="320">
        <v>4.24</v>
      </c>
      <c r="H11" s="321">
        <v>358946</v>
      </c>
      <c r="I11" s="322">
        <f>H11*13.79</f>
        <v>4949865.34</v>
      </c>
      <c r="J11" s="269"/>
      <c r="K11" s="278"/>
      <c r="L11" s="279"/>
    </row>
    <row r="12" spans="2:12" x14ac:dyDescent="0.35">
      <c r="B12" s="315" t="s">
        <v>192</v>
      </c>
      <c r="C12" s="316" t="s">
        <v>195</v>
      </c>
      <c r="D12" s="317">
        <v>1346</v>
      </c>
      <c r="E12" s="318">
        <v>9.5106496269999994</v>
      </c>
      <c r="F12" s="311">
        <v>0.129</v>
      </c>
      <c r="G12" s="312">
        <v>8.23</v>
      </c>
      <c r="H12" s="321">
        <v>203985</v>
      </c>
      <c r="I12" s="322">
        <f t="shared" ref="I12:I17" si="0">H12*15.97</f>
        <v>3257640.45</v>
      </c>
      <c r="J12" s="269"/>
      <c r="K12" s="278"/>
      <c r="L12" s="279"/>
    </row>
    <row r="13" spans="2:12" x14ac:dyDescent="0.35">
      <c r="B13" s="315" t="s">
        <v>193</v>
      </c>
      <c r="C13" s="316" t="s">
        <v>195</v>
      </c>
      <c r="D13" s="317">
        <v>1311</v>
      </c>
      <c r="E13" s="318">
        <v>9.357720058</v>
      </c>
      <c r="F13" s="311">
        <v>0.129</v>
      </c>
      <c r="G13" s="312">
        <v>8.23</v>
      </c>
      <c r="H13" s="321">
        <v>167941</v>
      </c>
      <c r="I13" s="322">
        <f t="shared" si="0"/>
        <v>2682017.77</v>
      </c>
      <c r="J13" s="269"/>
      <c r="K13" s="278"/>
      <c r="L13" s="279"/>
    </row>
    <row r="14" spans="2:12" x14ac:dyDescent="0.35">
      <c r="B14" s="315" t="s">
        <v>194</v>
      </c>
      <c r="C14" s="316" t="s">
        <v>195</v>
      </c>
      <c r="D14" s="317">
        <v>1320.1</v>
      </c>
      <c r="E14" s="318">
        <v>9.0440066590000008</v>
      </c>
      <c r="F14" s="311">
        <v>0.129</v>
      </c>
      <c r="G14" s="312">
        <v>8.23</v>
      </c>
      <c r="H14" s="321">
        <v>269139</v>
      </c>
      <c r="I14" s="322">
        <f t="shared" si="0"/>
        <v>4298149.83</v>
      </c>
      <c r="J14" s="269"/>
      <c r="K14" s="278"/>
      <c r="L14" s="279"/>
    </row>
    <row r="15" spans="2:12" x14ac:dyDescent="0.35">
      <c r="B15" s="315" t="s">
        <v>196</v>
      </c>
      <c r="C15" s="316" t="s">
        <v>195</v>
      </c>
      <c r="D15" s="317">
        <v>1356.3</v>
      </c>
      <c r="E15" s="318">
        <v>9.02584929</v>
      </c>
      <c r="F15" s="311">
        <v>0.129</v>
      </c>
      <c r="G15" s="312">
        <v>8.23</v>
      </c>
      <c r="H15" s="321">
        <v>391500</v>
      </c>
      <c r="I15" s="322">
        <f t="shared" si="0"/>
        <v>6252255</v>
      </c>
      <c r="J15" s="269"/>
      <c r="K15" s="278"/>
      <c r="L15" s="279"/>
    </row>
    <row r="16" spans="2:12" x14ac:dyDescent="0.35">
      <c r="B16" s="315" t="s">
        <v>197</v>
      </c>
      <c r="C16" s="316" t="s">
        <v>195</v>
      </c>
      <c r="D16" s="317">
        <v>1383.1</v>
      </c>
      <c r="E16" s="318">
        <v>9.0756347660000003</v>
      </c>
      <c r="F16" s="311">
        <v>0.129</v>
      </c>
      <c r="G16" s="312">
        <v>8.23</v>
      </c>
      <c r="H16" s="321">
        <v>313100</v>
      </c>
      <c r="I16" s="322">
        <f t="shared" si="0"/>
        <v>5000207</v>
      </c>
      <c r="J16" s="269"/>
      <c r="K16" s="278"/>
      <c r="L16" s="279"/>
    </row>
    <row r="17" spans="1:12" x14ac:dyDescent="0.35">
      <c r="B17" s="315" t="s">
        <v>205</v>
      </c>
      <c r="C17" s="316" t="s">
        <v>195</v>
      </c>
      <c r="D17" s="317">
        <v>1376.8</v>
      </c>
      <c r="E17" s="318">
        <v>9.1394815549999997</v>
      </c>
      <c r="F17" s="311">
        <v>0.129</v>
      </c>
      <c r="G17" s="312">
        <v>8.23</v>
      </c>
      <c r="H17" s="321">
        <v>402500</v>
      </c>
      <c r="I17" s="322">
        <f t="shared" si="0"/>
        <v>6427925</v>
      </c>
      <c r="J17" s="269"/>
      <c r="K17" s="278"/>
      <c r="L17" s="279"/>
    </row>
    <row r="18" spans="1:12" x14ac:dyDescent="0.35">
      <c r="B18" s="315" t="s">
        <v>200</v>
      </c>
      <c r="C18" s="316" t="s">
        <v>208</v>
      </c>
      <c r="D18" s="323">
        <v>1211.2</v>
      </c>
      <c r="E18" s="318">
        <v>9.56</v>
      </c>
      <c r="F18" s="319">
        <v>8.0100000000000005E-2</v>
      </c>
      <c r="G18" s="320">
        <v>2.81</v>
      </c>
      <c r="H18" s="321">
        <v>247204</v>
      </c>
      <c r="I18" s="322">
        <f>H18*13.79</f>
        <v>3408943.1599999997</v>
      </c>
      <c r="J18" s="269"/>
      <c r="K18" s="278"/>
      <c r="L18" s="279"/>
    </row>
    <row r="19" spans="1:12" x14ac:dyDescent="0.35">
      <c r="B19" s="315" t="s">
        <v>201</v>
      </c>
      <c r="C19" s="316" t="s">
        <v>191</v>
      </c>
      <c r="D19" s="323">
        <v>1314.9</v>
      </c>
      <c r="E19" s="318">
        <v>9.7200000000000006</v>
      </c>
      <c r="F19" s="319">
        <v>0.112</v>
      </c>
      <c r="G19" s="320">
        <v>5.1100000000000003</v>
      </c>
      <c r="H19" s="321">
        <v>379033</v>
      </c>
      <c r="I19" s="322">
        <f>H19*13.79</f>
        <v>5226865.0699999994</v>
      </c>
      <c r="J19" s="269"/>
      <c r="K19" s="278"/>
      <c r="L19" s="279"/>
    </row>
    <row r="20" spans="1:12" x14ac:dyDescent="0.35">
      <c r="B20" s="315" t="s">
        <v>203</v>
      </c>
      <c r="C20" s="316" t="s">
        <v>195</v>
      </c>
      <c r="D20" s="317">
        <v>1345</v>
      </c>
      <c r="E20" s="318">
        <v>9.1630772910000005</v>
      </c>
      <c r="F20" s="311">
        <v>0.129</v>
      </c>
      <c r="G20" s="312">
        <v>8.23</v>
      </c>
      <c r="H20" s="324">
        <v>429000</v>
      </c>
      <c r="I20" s="322">
        <f>H20*15.97</f>
        <v>6851130</v>
      </c>
      <c r="J20" s="269"/>
      <c r="K20" s="278"/>
      <c r="L20" s="279"/>
    </row>
    <row r="21" spans="1:12" ht="21.75" thickBot="1" x14ac:dyDescent="0.4">
      <c r="B21" s="325" t="s">
        <v>204</v>
      </c>
      <c r="C21" s="326" t="s">
        <v>195</v>
      </c>
      <c r="D21" s="327">
        <v>1307</v>
      </c>
      <c r="E21" s="328">
        <v>8.8284084010000008</v>
      </c>
      <c r="F21" s="333">
        <v>0.129</v>
      </c>
      <c r="G21" s="334">
        <v>8.23</v>
      </c>
      <c r="H21" s="329">
        <v>300000</v>
      </c>
      <c r="I21" s="330">
        <f>H21*15.97</f>
        <v>4791000</v>
      </c>
      <c r="J21" s="269"/>
      <c r="K21" s="278"/>
      <c r="L21" s="279"/>
    </row>
    <row r="22" spans="1:12" x14ac:dyDescent="0.35">
      <c r="D22" s="268"/>
      <c r="E22" s="268"/>
      <c r="F22" s="268"/>
      <c r="G22" s="268"/>
      <c r="H22" s="268"/>
      <c r="I22" s="268"/>
    </row>
    <row r="23" spans="1:12" x14ac:dyDescent="0.35">
      <c r="C23" s="271"/>
      <c r="D23" s="271"/>
      <c r="E23" s="274"/>
      <c r="F23" s="268"/>
      <c r="G23" s="268"/>
      <c r="H23" s="268"/>
      <c r="I23" s="268"/>
    </row>
    <row r="24" spans="1:12" x14ac:dyDescent="0.35">
      <c r="C24" s="272"/>
      <c r="E24" s="273"/>
      <c r="F24" s="268"/>
      <c r="G24" s="268"/>
      <c r="H24" s="268"/>
      <c r="I24" s="268"/>
    </row>
    <row r="25" spans="1:12" x14ac:dyDescent="0.35">
      <c r="A25" s="268"/>
      <c r="B25" s="275"/>
      <c r="E25" s="273"/>
      <c r="F25" s="268"/>
      <c r="G25" s="268"/>
      <c r="H25" s="268"/>
      <c r="I25" s="268"/>
    </row>
    <row r="26" spans="1:12" x14ac:dyDescent="0.35">
      <c r="A26" s="268"/>
      <c r="B26" s="275"/>
      <c r="E26" s="273"/>
    </row>
    <row r="27" spans="1:12" x14ac:dyDescent="0.35">
      <c r="A27" s="268"/>
      <c r="B27" s="275"/>
      <c r="E27" s="273"/>
    </row>
    <row r="28" spans="1:12" x14ac:dyDescent="0.35">
      <c r="A28" s="268"/>
      <c r="B28" s="275"/>
      <c r="E28" s="273"/>
    </row>
    <row r="29" spans="1:12" x14ac:dyDescent="0.35">
      <c r="A29" s="268"/>
      <c r="B29" s="336"/>
      <c r="E29" s="273"/>
    </row>
    <row r="30" spans="1:12" x14ac:dyDescent="0.35">
      <c r="A30" s="268"/>
      <c r="B30" s="275"/>
      <c r="E30" s="273"/>
    </row>
    <row r="31" spans="1:12" x14ac:dyDescent="0.35">
      <c r="A31" s="268"/>
      <c r="B31" s="275"/>
      <c r="E31" s="273"/>
    </row>
    <row r="32" spans="1:12" x14ac:dyDescent="0.35">
      <c r="A32" s="268"/>
      <c r="B32" s="275"/>
      <c r="E32" s="273"/>
    </row>
    <row r="33" spans="1:5" x14ac:dyDescent="0.35">
      <c r="A33" s="268"/>
      <c r="B33" s="275"/>
      <c r="E33" s="273"/>
    </row>
    <row r="34" spans="1:5" x14ac:dyDescent="0.35">
      <c r="A34" s="268"/>
      <c r="B34" s="275"/>
      <c r="E34" s="273"/>
    </row>
    <row r="35" spans="1:5" x14ac:dyDescent="0.35">
      <c r="A35" s="268"/>
      <c r="B35" s="275"/>
      <c r="E35" s="273"/>
    </row>
    <row r="36" spans="1:5" x14ac:dyDescent="0.35">
      <c r="A36" s="268"/>
      <c r="B36" s="275"/>
      <c r="E36" s="273"/>
    </row>
    <row r="37" spans="1:5" x14ac:dyDescent="0.35">
      <c r="A37" s="268"/>
      <c r="B37" s="275"/>
      <c r="E37" s="273"/>
    </row>
    <row r="38" spans="1:5" x14ac:dyDescent="0.35">
      <c r="A38" s="268"/>
      <c r="B38" s="275"/>
      <c r="E38" s="273"/>
    </row>
    <row r="39" spans="1:5" x14ac:dyDescent="0.35">
      <c r="A39" s="268"/>
      <c r="B39" s="275"/>
      <c r="E39" s="273"/>
    </row>
    <row r="40" spans="1:5" x14ac:dyDescent="0.35">
      <c r="A40" s="268"/>
      <c r="B40" s="275"/>
      <c r="E40" s="273"/>
    </row>
    <row r="41" spans="1:5" x14ac:dyDescent="0.35">
      <c r="B41" s="275"/>
      <c r="E41" s="273"/>
    </row>
    <row r="42" spans="1:5" x14ac:dyDescent="0.35">
      <c r="B42" s="275"/>
    </row>
  </sheetData>
  <sheetProtection algorithmName="SHA-512" hashValue="MEnV9q8Hz8+Klly7F5htpj4jyZ1IYohXrSZCgpKoqvByuCOPinDTR+aufeSWVcn85BttMOmoCuXpnVwORWb1QQ==" saltValue="O07pctrYDpgz8Wev6x/E4w==" spinCount="100000" sheet="1" objects="1" scenarios="1"/>
  <mergeCells count="7">
    <mergeCell ref="B2:C2"/>
    <mergeCell ref="K2:K3"/>
    <mergeCell ref="L2:L3"/>
    <mergeCell ref="J2:J3"/>
    <mergeCell ref="D2:E2"/>
    <mergeCell ref="F2:G2"/>
    <mergeCell ref="H2:I2"/>
  </mergeCells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100% Ownership</vt:lpstr>
      <vt:lpstr>PPA</vt:lpstr>
      <vt:lpstr>100% Ownership Cash Flow</vt:lpstr>
      <vt:lpstr>PPA Cashflow</vt:lpstr>
      <vt:lpstr>Demand Charge Redn</vt:lpstr>
      <vt:lpstr>Baseline Energy Consumption</vt:lpstr>
      <vt:lpstr>Inputs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Bhaskar, Parangat</cp:lastModifiedBy>
  <cp:lastPrinted>2019-02-18T20:16:10Z</cp:lastPrinted>
  <dcterms:created xsi:type="dcterms:W3CDTF">2018-04-24T04:19:16Z</dcterms:created>
  <dcterms:modified xsi:type="dcterms:W3CDTF">2019-02-18T22:42:52Z</dcterms:modified>
</cp:coreProperties>
</file>